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980" activeTab="1"/>
  </bookViews>
  <sheets>
    <sheet name="maestro " sheetId="1" r:id="rId1"/>
    <sheet name="Analisis" sheetId="2" r:id="rId2"/>
  </sheets>
  <definedNames>
    <definedName name="_xlnm._FilterDatabase" localSheetId="1" hidden="1">Analisis!$A$12:$E$87</definedName>
    <definedName name="_xlnm._FilterDatabase" localSheetId="0" hidden="1">'maestro '!$A$1:$BW$35</definedName>
  </definedNames>
  <calcPr calcId="191029"/>
  <pivotCaches>
    <pivotCache cacheId="0" r:id="rId3"/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<sst xmlns="http://schemas.openxmlformats.org/spreadsheetml/2006/main" count="1348" uniqueCount="259">
  <si>
    <t>Codigo</t>
  </si>
  <si>
    <t>Codigo_Producto_Sistema</t>
  </si>
  <si>
    <t>Codigo_Tipo_Producto</t>
  </si>
  <si>
    <t>Codigo_Familia</t>
  </si>
  <si>
    <t>Codigo_Tipo_Entrada</t>
  </si>
  <si>
    <t>Codigo_Tipo_Salida</t>
  </si>
  <si>
    <t>Codigo_Categoria_Producto</t>
  </si>
  <si>
    <t>Codigo_SubZona_Almacen</t>
  </si>
  <si>
    <t>Nombre</t>
  </si>
  <si>
    <t>Descripcion</t>
  </si>
  <si>
    <t>Codigo_Barra</t>
  </si>
  <si>
    <t>Codigo_Barra_Secundario</t>
  </si>
  <si>
    <t>Codigo_UM_Vol</t>
  </si>
  <si>
    <t>Volumen_Neto</t>
  </si>
  <si>
    <t>Volumen_Bruto</t>
  </si>
  <si>
    <t>Codigo_UM_Peso</t>
  </si>
  <si>
    <t>Peso_Neto</t>
  </si>
  <si>
    <t>Peso_Bruto</t>
  </si>
  <si>
    <t>Codigo_UM_Dimension</t>
  </si>
  <si>
    <t>Altura</t>
  </si>
  <si>
    <t>Ancho</t>
  </si>
  <si>
    <t>Profundidad</t>
  </si>
  <si>
    <t>Codigo_UM_Presentacion_Defecto</t>
  </si>
  <si>
    <t>Codigo_Pallet_Por_Defecto</t>
  </si>
  <si>
    <t>Codigo_UM_Palletizado</t>
  </si>
  <si>
    <t>Codigo_UM_Peso_Pallets</t>
  </si>
  <si>
    <t>Peso_Pallet</t>
  </si>
  <si>
    <t>Codigo_UM_Dimension_Pallets</t>
  </si>
  <si>
    <t>Altura_Pallet</t>
  </si>
  <si>
    <t>Ancho_Pallet</t>
  </si>
  <si>
    <t>Profundidad_Pallet</t>
  </si>
  <si>
    <t>Codigo_Secundario</t>
  </si>
  <si>
    <t>Stock_Minimo_Reposicion</t>
  </si>
  <si>
    <t>Stock_Minimo_Reubicacion</t>
  </si>
  <si>
    <t>Codigo_UM_Moneda</t>
  </si>
  <si>
    <t>Valor_Comercial</t>
  </si>
  <si>
    <t>Valor_Asegurado</t>
  </si>
  <si>
    <t>Valor_Costo</t>
  </si>
  <si>
    <t>Tasa_Cambio</t>
  </si>
  <si>
    <t>Coef_Unidad_Almacenamiento</t>
  </si>
  <si>
    <t>Codigo_Cliente</t>
  </si>
  <si>
    <t>nombre_Cliente</t>
  </si>
  <si>
    <t>Codigo_Empresa</t>
  </si>
  <si>
    <t>Codigo_Empresa_Sector</t>
  </si>
  <si>
    <t>CDXU_Num1</t>
  </si>
  <si>
    <t>CDXU_Num2</t>
  </si>
  <si>
    <t>CDXU_Num3</t>
  </si>
  <si>
    <t>CDXU_Num4</t>
  </si>
  <si>
    <t>CDXU_Alf_Corto1</t>
  </si>
  <si>
    <t>CDXU_Alf_Corto2</t>
  </si>
  <si>
    <t>CDXU_Alf_Corto3</t>
  </si>
  <si>
    <t>CDXU_Alf_Corto4</t>
  </si>
  <si>
    <t>CDXU_Alf_Largo1</t>
  </si>
  <si>
    <t>CDXU_Alf_Largo2</t>
  </si>
  <si>
    <t>CDXU_Alf_Largo3</t>
  </si>
  <si>
    <t>CDXU_Alf_Largo4</t>
  </si>
  <si>
    <t>CDXU_Fecha1</t>
  </si>
  <si>
    <t>CDXU_Fecha2</t>
  </si>
  <si>
    <t>CDXU_Fecha3</t>
  </si>
  <si>
    <t>CDXU_Fecha4</t>
  </si>
  <si>
    <t>CDXU_Bit1</t>
  </si>
  <si>
    <t>CDXU_Bit2</t>
  </si>
  <si>
    <t>CDXU_Bit3</t>
  </si>
  <si>
    <t>CDXU_Bit4</t>
  </si>
  <si>
    <t>Codigo_Talle_Cab</t>
  </si>
  <si>
    <t>Codigo_Color_Cab</t>
  </si>
  <si>
    <t>Codigo_Sabor_Cab</t>
  </si>
  <si>
    <t>Codigo_Fragancia_Cab</t>
  </si>
  <si>
    <t>Codigo_Atrib1_Cab</t>
  </si>
  <si>
    <t>Codigo_Atrib2_Cab</t>
  </si>
  <si>
    <t>Sistema Destino</t>
  </si>
  <si>
    <t>Acción (Agregar "A" , Modificar "M", Baja "B")</t>
  </si>
  <si>
    <t>CompaniaDestino</t>
  </si>
  <si>
    <t>Id_subzona</t>
  </si>
  <si>
    <t>AS12HUPI</t>
  </si>
  <si>
    <t>Normal</t>
  </si>
  <si>
    <t>ELECTRO</t>
  </si>
  <si>
    <t>FIFO</t>
  </si>
  <si>
    <t>GRAL</t>
  </si>
  <si>
    <t>Sub Zona B DER</t>
  </si>
  <si>
    <t>Trend 12 C - Unidad Int, Frio/Calor</t>
  </si>
  <si>
    <t>mt3</t>
  </si>
  <si>
    <t>kg</t>
  </si>
  <si>
    <t>mts</t>
  </si>
  <si>
    <t>UNIDAD</t>
  </si>
  <si>
    <t>0240</t>
  </si>
  <si>
    <t>aires acondicionados</t>
  </si>
  <si>
    <t>OXDEP</t>
  </si>
  <si>
    <t>A</t>
  </si>
  <si>
    <t>ENCOPRESS_OXDEP</t>
  </si>
  <si>
    <t>AS12HUPO</t>
  </si>
  <si>
    <t>Trend 12 C - Unidad ext, Frio/Calor</t>
  </si>
  <si>
    <t>AS12HVGI</t>
  </si>
  <si>
    <t>Green 12 unidad int, Fr?o / Calor</t>
  </si>
  <si>
    <t>AS18HUPO</t>
  </si>
  <si>
    <t>TREND 18C-UNIDAD EXT, FRIO/CALOR</t>
  </si>
  <si>
    <t>AS22HUPI</t>
  </si>
  <si>
    <t>Trend 22 C - Unidad int, Frio/Calor</t>
  </si>
  <si>
    <t>AS22HVGO</t>
  </si>
  <si>
    <t>Green 22 c-unidad ext, frio/calor</t>
  </si>
  <si>
    <t>gwh18mcc3i</t>
  </si>
  <si>
    <t>Bee 18 - Unidad int, Fr?o/Calor</t>
  </si>
  <si>
    <t>gwh18mcc3o</t>
  </si>
  <si>
    <t>Bee 18 c- Unidad ext, Fr?o/Calor</t>
  </si>
  <si>
    <t>TLF10X1</t>
  </si>
  <si>
    <t>ALIMENTO</t>
  </si>
  <si>
    <t>Sub Zona F DER</t>
  </si>
  <si>
    <t>Topador L.Fino x 1 Kg.</t>
  </si>
  <si>
    <t>0244</t>
  </si>
  <si>
    <t>Molino arrocero</t>
  </si>
  <si>
    <t>TCLF10X1</t>
  </si>
  <si>
    <t>Tio Carlos L.Fino 10 x 1 Kg.</t>
  </si>
  <si>
    <t>AS12HVGO</t>
  </si>
  <si>
    <t>Green 12 C - Unidad ext, Fr?o/Calor</t>
  </si>
  <si>
    <t>AS18HUPI</t>
  </si>
  <si>
    <t>TREND 18 C- UNIDAD INT,FRIO/CALOR</t>
  </si>
  <si>
    <t>GWH09MAC3O</t>
  </si>
  <si>
    <t>BEE 09C-UNIDAD EXT</t>
  </si>
  <si>
    <t>GWH12NBC3I</t>
  </si>
  <si>
    <t>Bee 12  - Unidad int, Fr?o/Calor</t>
  </si>
  <si>
    <t>AS09HVGI</t>
  </si>
  <si>
    <t>Green?09?C?-?Unidad?int,?Frio/</t>
  </si>
  <si>
    <t>AS09HVGO</t>
  </si>
  <si>
    <t>GREEN 09C Unidad Exterior Frio/Calor</t>
  </si>
  <si>
    <t>AS12HUPCO</t>
  </si>
  <si>
    <t>EQAA MOD TREND 09C</t>
  </si>
  <si>
    <t>as18cvgo</t>
  </si>
  <si>
    <t>GREEN 18 F-unidad ext,frio</t>
  </si>
  <si>
    <t>AS22HUPO</t>
  </si>
  <si>
    <t>Trend 22 C - Unidade ext, Frio/Calor</t>
  </si>
  <si>
    <t>AS22HVGI</t>
  </si>
  <si>
    <t>Green 22c-unidad int, frio/calor</t>
  </si>
  <si>
    <t>GWH09MAC3I</t>
  </si>
  <si>
    <t>BEE 09-UNIDAD INT FRIO/CALOR</t>
  </si>
  <si>
    <t>GLF10X1</t>
  </si>
  <si>
    <t>Guayquiraro L.Fino x 1 Kg.</t>
  </si>
  <si>
    <t>TCDC 10X1/2</t>
  </si>
  <si>
    <t>Tio Carlos D.Carolina 10 x 1/2 Kg.</t>
  </si>
  <si>
    <t>AS18HVGI</t>
  </si>
  <si>
    <t>Green 18 C - Unidad Int. Frio/Calor</t>
  </si>
  <si>
    <t>AS18HVGO</t>
  </si>
  <si>
    <t>Green 18 C - Unidad Ext. Frio/Calor</t>
  </si>
  <si>
    <t>GWC18MCA2I</t>
  </si>
  <si>
    <t>ALPHA 18 F - Unidad Int. Frio</t>
  </si>
  <si>
    <t>GWC18MCA2O</t>
  </si>
  <si>
    <t>ALPHA 18 F - Unidad Ext. Frio</t>
  </si>
  <si>
    <t>GWC24MDD2I</t>
  </si>
  <si>
    <t>Delta 24 F - Unidad Int. Frio</t>
  </si>
  <si>
    <t>GWC24MDD2O</t>
  </si>
  <si>
    <t>Delta 24 F - Unidad Ext. Frio</t>
  </si>
  <si>
    <t>GWH24MDC3I</t>
  </si>
  <si>
    <t>Bee 24 - Unidad Int. Frio/Calor</t>
  </si>
  <si>
    <t>GWH24MDC3O</t>
  </si>
  <si>
    <t>Bee 24 - Unidad Ext. Frio/Calor</t>
  </si>
  <si>
    <t>Métrica</t>
  </si>
  <si>
    <t>Fórmula utilizada</t>
  </si>
  <si>
    <t>resultado</t>
  </si>
  <si>
    <t xml:space="preserve">interpretacion </t>
  </si>
  <si>
    <t>Total registros</t>
  </si>
  <si>
    <t>=FILAS('maestro '!b1:BW35)'</t>
  </si>
  <si>
    <t>tamaño del DataSet</t>
  </si>
  <si>
    <t>Total columnas</t>
  </si>
  <si>
    <t>=COLUMNAS('maestro '!A1:BW36)'</t>
  </si>
  <si>
    <t>Cantidad de Atributos</t>
  </si>
  <si>
    <t>Celdas totales</t>
  </si>
  <si>
    <t>Registros * Columnas'</t>
  </si>
  <si>
    <t>Cantidad Celdas analizadas</t>
  </si>
  <si>
    <t>Celdas vacías</t>
  </si>
  <si>
    <t>=CONTAR.BLANCO(maestro '!A2:BW35)'</t>
  </si>
  <si>
    <t>Sin Informacion</t>
  </si>
  <si>
    <t xml:space="preserve">Celdas con informacion </t>
  </si>
  <si>
    <t xml:space="preserve">Celdas totales - Celdas vacias </t>
  </si>
  <si>
    <t>Con informacion</t>
  </si>
  <si>
    <t>% Indice Cobertura de Datos</t>
  </si>
  <si>
    <t>Celdas con informacion /Celdas totales '</t>
  </si>
  <si>
    <t xml:space="preserve">Porcentaje de informacion presente  </t>
  </si>
  <si>
    <t xml:space="preserve">Relevancia de los Atributos </t>
  </si>
  <si>
    <t>Campo</t>
  </si>
  <si>
    <t xml:space="preserve">categoria </t>
  </si>
  <si>
    <t>Relevancia  operativa</t>
  </si>
  <si>
    <t xml:space="preserve">Identificación del Material </t>
  </si>
  <si>
    <t xml:space="preserve">Critico </t>
  </si>
  <si>
    <t>Estos campos permiten identificar de forma única el artículo.</t>
  </si>
  <si>
    <t>Clasificación del Material</t>
  </si>
  <si>
    <t>Permiten agrupar y analizar productos.</t>
  </si>
  <si>
    <t>Operación e Interfaces</t>
  </si>
  <si>
    <t>Media</t>
  </si>
  <si>
    <t>Campos usados para integración entre sistemas.</t>
  </si>
  <si>
    <t>Inventario y Reposición</t>
  </si>
  <si>
    <t>Alta</t>
  </si>
  <si>
    <t>Ayudan a gestionar stock.</t>
  </si>
  <si>
    <t>Logística y Dimensiones</t>
  </si>
  <si>
    <t>Fundamentales para almacenamiento y transporte.</t>
  </si>
  <si>
    <t>Palletizado</t>
  </si>
  <si>
    <t>Información necesaria para almacenamiento masivo.</t>
  </si>
  <si>
    <t>Financiera</t>
  </si>
  <si>
    <t>Importantes para valorización.</t>
  </si>
  <si>
    <t>Organización y Cliente</t>
  </si>
  <si>
    <t>Relacionan el artículo con la estructura empresarial.</t>
  </si>
  <si>
    <t>Campos Personalizados</t>
  </si>
  <si>
    <t>Baja</t>
  </si>
  <si>
    <t xml:space="preserve">uso interno </t>
  </si>
  <si>
    <t>Tabla 1 - Resumen Ejecutivo</t>
  </si>
  <si>
    <t>Recuento de Relevancia  operativa</t>
  </si>
  <si>
    <t>Total general</t>
  </si>
  <si>
    <t>Se identificaron 47 atributos (16 críticos y 31 de alta relevancia) que tienen impacto directo sobre la operación logística y serán considerados para el análisis de calidad de datos.</t>
  </si>
  <si>
    <t>Tabla 2 - Atributos a Analizar</t>
  </si>
  <si>
    <t>Tabla 3 - Calidad de Datos</t>
  </si>
  <si>
    <t xml:space="preserve">columna </t>
  </si>
  <si>
    <t xml:space="preserve">sin informacion </t>
  </si>
  <si>
    <t xml:space="preserve">con informacion </t>
  </si>
  <si>
    <t xml:space="preserve">% cobertura de informacion </t>
  </si>
  <si>
    <t xml:space="preserve">B </t>
  </si>
  <si>
    <t>C</t>
  </si>
  <si>
    <t>D</t>
  </si>
  <si>
    <t xml:space="preserve">G </t>
  </si>
  <si>
    <t xml:space="preserve">I </t>
  </si>
  <si>
    <t>J</t>
  </si>
  <si>
    <t>K</t>
  </si>
  <si>
    <t>L</t>
  </si>
  <si>
    <t xml:space="preserve">AF </t>
  </si>
  <si>
    <t>BN</t>
  </si>
  <si>
    <t>BO</t>
  </si>
  <si>
    <t>BP</t>
  </si>
  <si>
    <t>BQ</t>
  </si>
  <si>
    <t>BR</t>
  </si>
  <si>
    <t>BS</t>
  </si>
  <si>
    <t>H</t>
  </si>
  <si>
    <t xml:space="preserve">M </t>
  </si>
  <si>
    <t xml:space="preserve">N </t>
  </si>
  <si>
    <t xml:space="preserve">O </t>
  </si>
  <si>
    <t xml:space="preserve">P </t>
  </si>
  <si>
    <t xml:space="preserve">Q </t>
  </si>
  <si>
    <t xml:space="preserve">R </t>
  </si>
  <si>
    <t xml:space="preserve">S </t>
  </si>
  <si>
    <t xml:space="preserve">T </t>
  </si>
  <si>
    <t>U</t>
  </si>
  <si>
    <t xml:space="preserve">V </t>
  </si>
  <si>
    <t>W</t>
  </si>
  <si>
    <t>X</t>
  </si>
  <si>
    <t>Y</t>
  </si>
  <si>
    <t>Z</t>
  </si>
  <si>
    <t>AA</t>
  </si>
  <si>
    <t>AB</t>
  </si>
  <si>
    <t>AC</t>
  </si>
  <si>
    <t>AD</t>
  </si>
  <si>
    <t xml:space="preserve">AE </t>
  </si>
  <si>
    <t>AG</t>
  </si>
  <si>
    <t>AH</t>
  </si>
  <si>
    <t>AN</t>
  </si>
  <si>
    <t>AO</t>
  </si>
  <si>
    <t>AP</t>
  </si>
  <si>
    <t>AQ</t>
  </si>
  <si>
    <t>AR</t>
  </si>
  <si>
    <t>AS</t>
  </si>
  <si>
    <t>BT</t>
  </si>
  <si>
    <t>BV</t>
  </si>
  <si>
    <t>BW</t>
  </si>
  <si>
    <t xml:space="preserve">Promedio de % cobertura de informacion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</si>
</sst>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 "/>
  </numFmts>
  <fonts count="22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10" fontId="1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9" fontId="1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/>
    </xf>
    <xf numFmtId="178" fontId="1" fillId="0" borderId="0" xfId="0" applyNumberFormat="1" applyFont="1" applyAlignment="1">
      <alignment vertical="center"/>
    </xf>
    <xf numFmtId="9" fontId="1" fillId="0" borderId="1" xfId="3" applyFont="1" applyBorder="1" applyAlignment="1">
      <alignment vertical="center"/>
    </xf>
    <xf numFmtId="9" fontId="1" fillId="0" borderId="1" xfId="3" applyNumberFormat="1" applyFont="1" applyBorder="1" applyAlignment="1">
      <alignment vertical="center"/>
    </xf>
    <xf numFmtId="9" fontId="0" fillId="0" borderId="0" xfId="3">
      <alignment vertical="center"/>
    </xf>
    <xf numFmtId="178" fontId="0" fillId="0" borderId="0" xfId="0" applyNumberFormat="1">
      <alignment vertical="center"/>
    </xf>
    <xf numFmtId="0" fontId="1" fillId="0" borderId="1" xfId="0" applyFont="1" applyBorder="1" applyAlignment="1" quotePrefix="1">
      <alignment vertical="center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20">
    <dxf>
      <font>
        <name val="Arial"/>
        <scheme val="none"/>
      </font>
    </dxf>
    <dxf>
      <font>
        <name val="Arial"/>
        <scheme val="none"/>
      </font>
    </dxf>
    <dxf>
      <alignment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[Logistics Master Data Quality Assessment.xlsx]Analisis!Tabla 
dinámica2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s-E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Analisis!$B$91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s-E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s-E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s-ES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s-ES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s-E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Analisis!$A$92:$A$96</c:f>
              <c:strCache>
                <c:ptCount val="4"/>
                <c:pt idx="0">
                  <c:v>Alta</c:v>
                </c:pt>
                <c:pt idx="1">
                  <c:v>Baja</c:v>
                </c:pt>
                <c:pt idx="2">
                  <c:v>Critico </c:v>
                </c:pt>
                <c:pt idx="3">
                  <c:v>Media</c:v>
                </c:pt>
              </c:strCache>
            </c:strRef>
          </c:cat>
          <c:val>
            <c:numRef>
              <c:f>Analisis!$B$92:$B$96</c:f>
              <c:numCache>
                <c:formatCode>General</c:formatCode>
                <c:ptCount val="4"/>
                <c:pt idx="0">
                  <c:v>31</c:v>
                </c:pt>
                <c:pt idx="1">
                  <c:v>20</c:v>
                </c:pt>
                <c:pt idx="2">
                  <c:v>16</c:v>
                </c:pt>
                <c:pt idx="3">
                  <c:v>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b8df0b2-7d13-4e66-9497-ba73cef0375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% Indice Cobertura de Datos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Analisis!$A$5:$A$8</c15:sqref>
                  </c15:fullRef>
                </c:ext>
              </c:extLst>
              <c:f>Analisis!$A$6:$A$7</c:f>
              <c:strCache>
                <c:ptCount val="2"/>
                <c:pt idx="0">
                  <c:v>Celdas vacías</c:v>
                </c:pt>
                <c:pt idx="1">
                  <c:v>Celdas con informacion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Analisis!$C$5:$C$8</c15:sqref>
                  </c15:fullRef>
                </c:ext>
              </c:extLst>
              <c:f>Analisis!$C$6:$C$7</c:f>
              <c:numCache>
                <c:formatCode>General</c:formatCode>
                <c:ptCount val="2"/>
                <c:pt idx="0">
                  <c:v>1598</c:v>
                </c:pt>
                <c:pt idx="1">
                  <c:v>952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b7fc05d-0ec9-4e02-bc7c-570ba4537c4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[Logistics Master Data Quality Assessment.xlsx]Analisis!Tabla 
dinámica1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s-E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Analisis!$B$218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dLbl>
              <c:idx val="0"/>
              <c:layout/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"/>
              <c:layout/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"/>
              <c:layout/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"/>
              <c:layout/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4"/>
              <c:layout/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5"/>
              <c:layout/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s-E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Analisis!$A$219:$A$225</c:f>
              <c:strCache>
                <c:ptCount val="6"/>
                <c:pt idx="0">
                  <c:v>Clasificación del Material</c:v>
                </c:pt>
                <c:pt idx="1">
                  <c:v>Identificación del Material </c:v>
                </c:pt>
                <c:pt idx="2">
                  <c:v>Inventario y Reposición</c:v>
                </c:pt>
                <c:pt idx="3">
                  <c:v>Logística y Dimensiones</c:v>
                </c:pt>
                <c:pt idx="4">
                  <c:v>Organización y Cliente</c:v>
                </c:pt>
                <c:pt idx="5">
                  <c:v>Palletizado</c:v>
                </c:pt>
              </c:strCache>
            </c:strRef>
          </c:cat>
          <c:val>
            <c:numRef>
              <c:f>Analisis!$B$219:$B$225</c:f>
              <c:numCache>
                <c:formatCode>General</c:formatCode>
                <c:ptCount val="6"/>
                <c:pt idx="0">
                  <c:v>0.333333333333333</c:v>
                </c:pt>
                <c:pt idx="1">
                  <c:v>0.714285714285714</c:v>
                </c:pt>
                <c:pt idx="2">
                  <c:v>0.4</c:v>
                </c:pt>
                <c:pt idx="3">
                  <c:v>1</c:v>
                </c:pt>
                <c:pt idx="4">
                  <c:v>0.714285714285714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Analisis!$B$219:$B$224</c15:f>
                <c15:dlblRangeCache>
                  <c:ptCount val="6"/>
                  <c:pt idx="0">
                    <c:v>33%</c:v>
                  </c:pt>
                  <c:pt idx="1">
                    <c:v>71%</c:v>
                  </c:pt>
                  <c:pt idx="2">
                    <c:v>40%</c:v>
                  </c:pt>
                  <c:pt idx="3">
                    <c:v>100%</c:v>
                  </c:pt>
                  <c:pt idx="4">
                    <c:v>71%</c:v>
                  </c:pt>
                  <c:pt idx="5">
                    <c:v>0%</c:v>
                  </c:pt>
                </c15:dlblRangeCache>
              </c15:datalabelsRang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358812657"/>
        <c:axId val="343620028"/>
      </c:barChart>
      <c:catAx>
        <c:axId val="35881265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3620028"/>
        <c:crosses val="autoZero"/>
        <c:auto val="1"/>
        <c:lblAlgn val="ctr"/>
        <c:lblOffset val="100"/>
        <c:noMultiLvlLbl val="0"/>
      </c:catAx>
      <c:valAx>
        <c:axId val="3436200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881265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8f0bd22-da89-4a51-9372-68ef5f974271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2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219075</xdr:colOff>
      <xdr:row>90</xdr:row>
      <xdr:rowOff>3175</xdr:rowOff>
    </xdr:from>
    <xdr:to>
      <xdr:col>5</xdr:col>
      <xdr:colOff>1425575</xdr:colOff>
      <xdr:row>104</xdr:row>
      <xdr:rowOff>79375</xdr:rowOff>
    </xdr:to>
    <xdr:graphicFrame>
      <xdr:nvGraphicFramePr>
        <xdr:cNvPr id="2" name="Gráfico 1"/>
        <xdr:cNvGraphicFramePr/>
      </xdr:nvGraphicFramePr>
      <xdr:xfrm>
        <a:off x="3914775" y="19034125"/>
        <a:ext cx="6083300" cy="2609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454025</xdr:colOff>
      <xdr:row>1</xdr:row>
      <xdr:rowOff>19050</xdr:rowOff>
    </xdr:from>
    <xdr:to>
      <xdr:col>7</xdr:col>
      <xdr:colOff>822325</xdr:colOff>
      <xdr:row>9</xdr:row>
      <xdr:rowOff>67945</xdr:rowOff>
    </xdr:to>
    <xdr:graphicFrame>
      <xdr:nvGraphicFramePr>
        <xdr:cNvPr id="3" name="Gráfico 2" descr="7b0a202020202263686172745265734964223a20223230323931393734220a7d0a"/>
        <xdr:cNvGraphicFramePr/>
      </xdr:nvGraphicFramePr>
      <xdr:xfrm>
        <a:off x="9026525" y="200025"/>
        <a:ext cx="4254500" cy="42303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942975</xdr:colOff>
      <xdr:row>216</xdr:row>
      <xdr:rowOff>22225</xdr:rowOff>
    </xdr:from>
    <xdr:to>
      <xdr:col>6</xdr:col>
      <xdr:colOff>130175</xdr:colOff>
      <xdr:row>230</xdr:row>
      <xdr:rowOff>41275</xdr:rowOff>
    </xdr:to>
    <xdr:graphicFrame>
      <xdr:nvGraphicFramePr>
        <xdr:cNvPr id="5" name="Gráfico 4"/>
        <xdr:cNvGraphicFramePr/>
      </xdr:nvGraphicFramePr>
      <xdr:xfrm>
        <a:off x="4638675" y="55667275"/>
        <a:ext cx="6007100" cy="2686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75.7271296296" refreshedBy="PAPA" recordCount="75">
  <cacheSource type="worksheet">
    <worksheetSource ref="A12:E87" sheet="Analisis"/>
  </cacheSource>
  <cacheFields count="4">
    <cacheField name="Campo" numFmtId="0">
      <sharedItems count="74">
        <s v="Codigo"/>
        <s v="Codigo_Producto_Sistema"/>
        <s v="Codigo_Tipo_Producto"/>
        <s v="Codigo_Familia"/>
        <s v="Codigo_Tipo_Entrada"/>
        <s v="Codigo_Tipo_Salida"/>
        <s v="Codigo_Categoria_Producto"/>
        <s v="Codigo_SubZona_Almacen"/>
        <s v="Nombre"/>
        <s v="Descripcion"/>
        <s v="Codigo_Barra"/>
        <s v="Codigo_Barra_Secundario"/>
        <s v="Codigo_UM_Vol"/>
        <s v="Volumen_Neto"/>
        <s v="Volumen_Bruto"/>
        <s v="Codigo_UM_Peso"/>
        <s v="Peso_Neto"/>
        <s v="Peso_Bruto"/>
        <s v="Codigo_UM_Dimension"/>
        <s v="Altura"/>
        <s v="Ancho"/>
        <s v="Profundidad"/>
        <s v="Codigo_UM_Presentacion_Defecto"/>
        <s v="Codigo_Pallet_Por_Defecto"/>
        <s v="Codigo_UM_Palletizado"/>
        <s v="Codigo_UM_Peso_Pallets"/>
        <s v="Peso_Pallet"/>
        <s v="Codigo_UM_Dimension_Pallets"/>
        <s v="Altura_Pallet"/>
        <s v="Ancho_Pallet"/>
        <s v="Profundidad_Pallet"/>
        <s v="Codigo_Secundario"/>
        <s v="Stock_Minimo_Reposicion"/>
        <s v="Stock_Minimo_Reubicacion"/>
        <s v="Codigo_UM_Moneda"/>
        <s v="Valor_Comercial"/>
        <s v="Valor_Asegurado"/>
        <s v="Valor_Costo"/>
        <s v="Tasa_Cambio"/>
        <s v="Coef_Unidad_Almacenamiento"/>
        <s v="Codigo_Cliente"/>
        <s v="nombre_Cliente"/>
        <s v="Codigo_Empresa"/>
        <s v="Codigo_Empresa_Sector"/>
        <s v="CDXU_Num1"/>
        <s v="CDXU_Num2"/>
        <s v="CDXU_Num3"/>
        <s v="CDXU_Num4"/>
        <s v="CDXU_Alf_Corto1"/>
        <s v="CDXU_Alf_Corto2"/>
        <s v="CDXU_Alf_Corto3"/>
        <s v="CDXU_Alf_Corto4"/>
        <s v="CDXU_Alf_Largo1"/>
        <s v="CDXU_Alf_Largo2"/>
        <s v="CDXU_Alf_Largo3"/>
        <s v="CDXU_Alf_Largo4"/>
        <s v="CDXU_Fecha1"/>
        <s v="CDXU_Fecha2"/>
        <s v="CDXU_Fecha3"/>
        <s v="CDXU_Fecha4"/>
        <s v="CDXU_Bit1"/>
        <s v="CDXU_Bit2"/>
        <s v="CDXU_Bit3"/>
        <s v="CDXU_Bit4"/>
        <s v="Codigo_Talle_Cab"/>
        <s v="Codigo_Color_Cab"/>
        <s v="Codigo_Sabor_Cab"/>
        <s v="Codigo_Fragancia_Cab"/>
        <s v="Codigo_Atrib1_Cab"/>
        <s v="Codigo_Atrib2_Cab"/>
        <s v="Sistema Destino"/>
        <s v="Acción (Agregar &quot;A&quot; , Modificar &quot;M&quot;, Baja &quot;B&quot;)"/>
        <s v="CompaniaDestino"/>
        <s v="Id_subzona"/>
      </sharedItems>
    </cacheField>
    <cacheField name="categoria " numFmtId="0">
      <sharedItems count="9">
        <s v="Identificación del Material "/>
        <s v="Clasificación del Material"/>
        <s v="Operación e Interfaces"/>
        <s v="Inventario y Reposición"/>
        <s v="Logística y Dimensiones"/>
        <s v="Palletizado"/>
        <s v="Financiera"/>
        <s v="Organización y Cliente"/>
        <s v="Campos Personalizados"/>
      </sharedItems>
    </cacheField>
    <cacheField name="Relevancia  operativa" numFmtId="0">
      <sharedItems containsBlank="1" count="5">
        <s v="Critico "/>
        <s v="Media"/>
        <s v="Alta"/>
        <s v="Baja"/>
        <m u="1"/>
      </sharedItems>
    </cacheField>
    <cacheField name="Descripcion" numFmtId="0">
      <sharedItems count="9">
        <s v="Estos campos permiten identificar de forma única el artículo."/>
        <s v="Permiten agrupar y analizar productos."/>
        <s v="Campos usados para integración entre sistemas."/>
        <s v="Ayudan a gestionar stock."/>
        <s v="Fundamentales para almacenamiento y transporte."/>
        <s v="Información necesaria para almacenamiento masivo."/>
        <s v="Importantes para valorización."/>
        <s v="Relacionan el artículo con la estructura empresarial."/>
        <s v="uso interno 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77.7429398148" refreshedBy="PAPA" recordCount="47">
  <cacheSource type="worksheet">
    <worksheetSource ref="A163:G210" sheet="Analisis"/>
  </cacheSource>
  <cacheFields count="7">
    <cacheField name="Campo" numFmtId="0">
      <sharedItems count="46">
        <s v="Codigo"/>
        <s v="Codigo_Producto_Sistema"/>
        <s v="Codigo_Tipo_Producto"/>
        <s v="Codigo_Familia"/>
        <s v="Codigo_Categoria_Producto"/>
        <s v="Nombre"/>
        <s v="Descripcion"/>
        <s v="Codigo_Barra"/>
        <s v="Codigo_Barra_Secundario"/>
        <s v="Codigo_Secundario"/>
        <s v="Codigo_Talle_Cab"/>
        <s v="Codigo_Color_Cab"/>
        <s v="Codigo_Sabor_Cab"/>
        <s v="Codigo_Fragancia_Cab"/>
        <s v="Codigo_Atrib1_Cab"/>
        <s v="Codigo_Atrib2_Cab"/>
        <s v="Codigo_SubZona_Almacen"/>
        <s v="Codigo_UM_Vol"/>
        <s v="Volumen_Neto"/>
        <s v="Volumen_Bruto"/>
        <s v="Codigo_UM_Peso"/>
        <s v="Peso_Neto"/>
        <s v="Peso_Bruto"/>
        <s v="Codigo_UM_Dimension"/>
        <s v="Altura"/>
        <s v="Ancho"/>
        <s v="Profundidad"/>
        <s v="Codigo_UM_Presentacion_Defecto"/>
        <s v="Codigo_Pallet_Por_Defecto"/>
        <s v="Codigo_UM_Palletizado"/>
        <s v="Codigo_UM_Peso_Pallets"/>
        <s v="Peso_Pallet"/>
        <s v="Codigo_UM_Dimension_Pallets"/>
        <s v="Altura_Pallet"/>
        <s v="Ancho_Pallet"/>
        <s v="Profundidad_Pallet"/>
        <s v="Stock_Minimo_Reposicion"/>
        <s v="Stock_Minimo_Reubicacion"/>
        <s v="Coef_Unidad_Almacenamiento"/>
        <s v="Codigo_Cliente"/>
        <s v="nombre_Cliente"/>
        <s v="Codigo_Empresa"/>
        <s v="Codigo_Empresa_Sector"/>
        <s v="Sistema Destino"/>
        <s v="CompaniaDestino"/>
        <s v="Id_subzona"/>
      </sharedItems>
    </cacheField>
    <cacheField name="Relevancia  operativa" numFmtId="0">
      <sharedItems count="2">
        <s v="Critico "/>
        <s v="Alta"/>
      </sharedItems>
    </cacheField>
    <cacheField name="columna " numFmtId="0">
      <sharedItems count="47">
        <s v="A"/>
        <s v="B "/>
        <s v="C"/>
        <s v="D"/>
        <s v="G "/>
        <s v="I "/>
        <s v="J"/>
        <s v="K"/>
        <s v="L"/>
        <s v="AF "/>
        <s v="BN"/>
        <s v="BO"/>
        <s v="BP"/>
        <s v="BQ"/>
        <s v="BR"/>
        <s v="BS"/>
        <s v="H"/>
        <s v="M "/>
        <s v="N "/>
        <s v="O "/>
        <s v="P "/>
        <s v="Q "/>
        <s v="R "/>
        <s v="S "/>
        <s v="T "/>
        <s v="U"/>
        <s v="V "/>
        <s v="W"/>
        <s v="X"/>
        <s v="Y"/>
        <s v="Z"/>
        <s v="AA"/>
        <s v="AB"/>
        <s v="AC"/>
        <s v="AD"/>
        <s v="AE "/>
        <s v="AG"/>
        <s v="AH"/>
        <s v="AN"/>
        <s v="AO"/>
        <s v="AP"/>
        <s v="AQ"/>
        <s v="AR"/>
        <s v="AS"/>
        <s v="BT"/>
        <s v="BV"/>
        <s v="BW"/>
      </sharedItems>
    </cacheField>
    <cacheField name="categoria " numFmtId="0">
      <sharedItems count="6">
        <s v="Identificación del Material "/>
        <s v="Clasificación del Material"/>
        <s v="Inventario y Reposición"/>
        <s v="Logística y Dimensiones"/>
        <s v="Palletizado"/>
        <s v="Organización y Cliente"/>
      </sharedItems>
    </cacheField>
    <cacheField name="sin informacion " numFmtId="0">
      <sharedItems containsSemiMixedTypes="0" containsString="0" containsNumber="1" containsInteger="1" minValue="0" maxValue="34" count="2">
        <n v="0"/>
        <n v="34"/>
      </sharedItems>
    </cacheField>
    <cacheField name="con informacion " numFmtId="0">
      <sharedItems containsSemiMixedTypes="0" containsString="0" containsNumber="1" containsInteger="1" minValue="0" maxValue="34" count="2">
        <n v="34"/>
        <n v="0"/>
      </sharedItems>
    </cacheField>
    <cacheField name="% cobertura de informacion " numFmtId="9">
      <sharedItems containsSemiMixedTypes="0" containsString="0" containsNumber="1" containsInteger="1" minValue="0" maxValue="1" count="2">
        <n v="1"/>
        <n v="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5">
  <r>
    <x v="0"/>
    <x v="0"/>
    <x v="0"/>
    <x v="0"/>
  </r>
  <r>
    <x v="1"/>
    <x v="0"/>
    <x v="0"/>
    <x v="0"/>
  </r>
  <r>
    <x v="2"/>
    <x v="1"/>
    <x v="0"/>
    <x v="1"/>
  </r>
  <r>
    <x v="3"/>
    <x v="1"/>
    <x v="0"/>
    <x v="1"/>
  </r>
  <r>
    <x v="4"/>
    <x v="2"/>
    <x v="1"/>
    <x v="2"/>
  </r>
  <r>
    <x v="5"/>
    <x v="2"/>
    <x v="1"/>
    <x v="2"/>
  </r>
  <r>
    <x v="6"/>
    <x v="1"/>
    <x v="0"/>
    <x v="1"/>
  </r>
  <r>
    <x v="7"/>
    <x v="3"/>
    <x v="2"/>
    <x v="3"/>
  </r>
  <r>
    <x v="8"/>
    <x v="0"/>
    <x v="0"/>
    <x v="0"/>
  </r>
  <r>
    <x v="9"/>
    <x v="0"/>
    <x v="0"/>
    <x v="0"/>
  </r>
  <r>
    <x v="10"/>
    <x v="0"/>
    <x v="0"/>
    <x v="0"/>
  </r>
  <r>
    <x v="11"/>
    <x v="0"/>
    <x v="0"/>
    <x v="0"/>
  </r>
  <r>
    <x v="12"/>
    <x v="4"/>
    <x v="2"/>
    <x v="4"/>
  </r>
  <r>
    <x v="13"/>
    <x v="4"/>
    <x v="2"/>
    <x v="4"/>
  </r>
  <r>
    <x v="14"/>
    <x v="4"/>
    <x v="2"/>
    <x v="4"/>
  </r>
  <r>
    <x v="15"/>
    <x v="4"/>
    <x v="2"/>
    <x v="4"/>
  </r>
  <r>
    <x v="16"/>
    <x v="4"/>
    <x v="2"/>
    <x v="4"/>
  </r>
  <r>
    <x v="17"/>
    <x v="4"/>
    <x v="2"/>
    <x v="4"/>
  </r>
  <r>
    <x v="18"/>
    <x v="4"/>
    <x v="2"/>
    <x v="4"/>
  </r>
  <r>
    <x v="19"/>
    <x v="4"/>
    <x v="2"/>
    <x v="4"/>
  </r>
  <r>
    <x v="20"/>
    <x v="4"/>
    <x v="2"/>
    <x v="4"/>
  </r>
  <r>
    <x v="21"/>
    <x v="4"/>
    <x v="2"/>
    <x v="4"/>
  </r>
  <r>
    <x v="22"/>
    <x v="4"/>
    <x v="2"/>
    <x v="4"/>
  </r>
  <r>
    <x v="23"/>
    <x v="5"/>
    <x v="2"/>
    <x v="5"/>
  </r>
  <r>
    <x v="24"/>
    <x v="5"/>
    <x v="2"/>
    <x v="5"/>
  </r>
  <r>
    <x v="25"/>
    <x v="5"/>
    <x v="2"/>
    <x v="5"/>
  </r>
  <r>
    <x v="26"/>
    <x v="5"/>
    <x v="2"/>
    <x v="5"/>
  </r>
  <r>
    <x v="27"/>
    <x v="5"/>
    <x v="2"/>
    <x v="5"/>
  </r>
  <r>
    <x v="28"/>
    <x v="5"/>
    <x v="2"/>
    <x v="5"/>
  </r>
  <r>
    <x v="29"/>
    <x v="5"/>
    <x v="2"/>
    <x v="5"/>
  </r>
  <r>
    <x v="30"/>
    <x v="5"/>
    <x v="2"/>
    <x v="5"/>
  </r>
  <r>
    <x v="31"/>
    <x v="0"/>
    <x v="0"/>
    <x v="0"/>
  </r>
  <r>
    <x v="32"/>
    <x v="3"/>
    <x v="2"/>
    <x v="3"/>
  </r>
  <r>
    <x v="33"/>
    <x v="3"/>
    <x v="2"/>
    <x v="3"/>
  </r>
  <r>
    <x v="34"/>
    <x v="6"/>
    <x v="1"/>
    <x v="6"/>
  </r>
  <r>
    <x v="35"/>
    <x v="6"/>
    <x v="1"/>
    <x v="6"/>
  </r>
  <r>
    <x v="36"/>
    <x v="6"/>
    <x v="1"/>
    <x v="6"/>
  </r>
  <r>
    <x v="37"/>
    <x v="6"/>
    <x v="1"/>
    <x v="6"/>
  </r>
  <r>
    <x v="38"/>
    <x v="6"/>
    <x v="1"/>
    <x v="6"/>
  </r>
  <r>
    <x v="39"/>
    <x v="3"/>
    <x v="2"/>
    <x v="3"/>
  </r>
  <r>
    <x v="40"/>
    <x v="7"/>
    <x v="2"/>
    <x v="7"/>
  </r>
  <r>
    <x v="40"/>
    <x v="7"/>
    <x v="2"/>
    <x v="7"/>
  </r>
  <r>
    <x v="41"/>
    <x v="7"/>
    <x v="2"/>
    <x v="7"/>
  </r>
  <r>
    <x v="42"/>
    <x v="7"/>
    <x v="2"/>
    <x v="7"/>
  </r>
  <r>
    <x v="43"/>
    <x v="7"/>
    <x v="2"/>
    <x v="7"/>
  </r>
  <r>
    <x v="44"/>
    <x v="8"/>
    <x v="3"/>
    <x v="8"/>
  </r>
  <r>
    <x v="45"/>
    <x v="8"/>
    <x v="3"/>
    <x v="8"/>
  </r>
  <r>
    <x v="46"/>
    <x v="8"/>
    <x v="3"/>
    <x v="8"/>
  </r>
  <r>
    <x v="47"/>
    <x v="8"/>
    <x v="3"/>
    <x v="8"/>
  </r>
  <r>
    <x v="48"/>
    <x v="8"/>
    <x v="3"/>
    <x v="8"/>
  </r>
  <r>
    <x v="49"/>
    <x v="8"/>
    <x v="3"/>
    <x v="8"/>
  </r>
  <r>
    <x v="50"/>
    <x v="8"/>
    <x v="3"/>
    <x v="8"/>
  </r>
  <r>
    <x v="51"/>
    <x v="8"/>
    <x v="3"/>
    <x v="8"/>
  </r>
  <r>
    <x v="52"/>
    <x v="8"/>
    <x v="3"/>
    <x v="8"/>
  </r>
  <r>
    <x v="53"/>
    <x v="8"/>
    <x v="3"/>
    <x v="8"/>
  </r>
  <r>
    <x v="54"/>
    <x v="8"/>
    <x v="3"/>
    <x v="8"/>
  </r>
  <r>
    <x v="55"/>
    <x v="8"/>
    <x v="3"/>
    <x v="8"/>
  </r>
  <r>
    <x v="56"/>
    <x v="8"/>
    <x v="3"/>
    <x v="8"/>
  </r>
  <r>
    <x v="57"/>
    <x v="8"/>
    <x v="3"/>
    <x v="8"/>
  </r>
  <r>
    <x v="58"/>
    <x v="8"/>
    <x v="3"/>
    <x v="8"/>
  </r>
  <r>
    <x v="59"/>
    <x v="8"/>
    <x v="3"/>
    <x v="8"/>
  </r>
  <r>
    <x v="60"/>
    <x v="8"/>
    <x v="3"/>
    <x v="8"/>
  </r>
  <r>
    <x v="61"/>
    <x v="8"/>
    <x v="3"/>
    <x v="8"/>
  </r>
  <r>
    <x v="62"/>
    <x v="8"/>
    <x v="3"/>
    <x v="8"/>
  </r>
  <r>
    <x v="63"/>
    <x v="8"/>
    <x v="3"/>
    <x v="8"/>
  </r>
  <r>
    <x v="64"/>
    <x v="1"/>
    <x v="0"/>
    <x v="1"/>
  </r>
  <r>
    <x v="65"/>
    <x v="1"/>
    <x v="0"/>
    <x v="1"/>
  </r>
  <r>
    <x v="66"/>
    <x v="1"/>
    <x v="0"/>
    <x v="1"/>
  </r>
  <r>
    <x v="67"/>
    <x v="1"/>
    <x v="0"/>
    <x v="1"/>
  </r>
  <r>
    <x v="68"/>
    <x v="1"/>
    <x v="0"/>
    <x v="1"/>
  </r>
  <r>
    <x v="69"/>
    <x v="1"/>
    <x v="0"/>
    <x v="1"/>
  </r>
  <r>
    <x v="70"/>
    <x v="7"/>
    <x v="2"/>
    <x v="7"/>
  </r>
  <r>
    <x v="71"/>
    <x v="2"/>
    <x v="1"/>
    <x v="2"/>
  </r>
  <r>
    <x v="72"/>
    <x v="7"/>
    <x v="2"/>
    <x v="7"/>
  </r>
  <r>
    <x v="73"/>
    <x v="3"/>
    <x v="2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7">
  <r>
    <x v="0"/>
    <x v="0"/>
    <x v="0"/>
    <x v="0"/>
    <x v="0"/>
    <x v="0"/>
    <x v="0"/>
  </r>
  <r>
    <x v="1"/>
    <x v="0"/>
    <x v="1"/>
    <x v="0"/>
    <x v="1"/>
    <x v="1"/>
    <x v="1"/>
  </r>
  <r>
    <x v="2"/>
    <x v="0"/>
    <x v="2"/>
    <x v="1"/>
    <x v="0"/>
    <x v="0"/>
    <x v="0"/>
  </r>
  <r>
    <x v="3"/>
    <x v="0"/>
    <x v="3"/>
    <x v="1"/>
    <x v="0"/>
    <x v="0"/>
    <x v="0"/>
  </r>
  <r>
    <x v="4"/>
    <x v="0"/>
    <x v="4"/>
    <x v="1"/>
    <x v="0"/>
    <x v="0"/>
    <x v="0"/>
  </r>
  <r>
    <x v="5"/>
    <x v="0"/>
    <x v="5"/>
    <x v="0"/>
    <x v="0"/>
    <x v="0"/>
    <x v="0"/>
  </r>
  <r>
    <x v="6"/>
    <x v="0"/>
    <x v="6"/>
    <x v="0"/>
    <x v="0"/>
    <x v="0"/>
    <x v="0"/>
  </r>
  <r>
    <x v="7"/>
    <x v="0"/>
    <x v="7"/>
    <x v="0"/>
    <x v="0"/>
    <x v="0"/>
    <x v="0"/>
  </r>
  <r>
    <x v="8"/>
    <x v="0"/>
    <x v="8"/>
    <x v="0"/>
    <x v="0"/>
    <x v="0"/>
    <x v="0"/>
  </r>
  <r>
    <x v="9"/>
    <x v="0"/>
    <x v="9"/>
    <x v="0"/>
    <x v="1"/>
    <x v="1"/>
    <x v="1"/>
  </r>
  <r>
    <x v="10"/>
    <x v="0"/>
    <x v="10"/>
    <x v="1"/>
    <x v="1"/>
    <x v="1"/>
    <x v="1"/>
  </r>
  <r>
    <x v="11"/>
    <x v="0"/>
    <x v="11"/>
    <x v="1"/>
    <x v="1"/>
    <x v="1"/>
    <x v="1"/>
  </r>
  <r>
    <x v="12"/>
    <x v="0"/>
    <x v="12"/>
    <x v="1"/>
    <x v="1"/>
    <x v="1"/>
    <x v="1"/>
  </r>
  <r>
    <x v="13"/>
    <x v="0"/>
    <x v="13"/>
    <x v="1"/>
    <x v="1"/>
    <x v="1"/>
    <x v="1"/>
  </r>
  <r>
    <x v="14"/>
    <x v="0"/>
    <x v="14"/>
    <x v="1"/>
    <x v="1"/>
    <x v="1"/>
    <x v="1"/>
  </r>
  <r>
    <x v="15"/>
    <x v="0"/>
    <x v="15"/>
    <x v="1"/>
    <x v="1"/>
    <x v="1"/>
    <x v="1"/>
  </r>
  <r>
    <x v="16"/>
    <x v="1"/>
    <x v="16"/>
    <x v="2"/>
    <x v="0"/>
    <x v="0"/>
    <x v="0"/>
  </r>
  <r>
    <x v="17"/>
    <x v="1"/>
    <x v="17"/>
    <x v="3"/>
    <x v="0"/>
    <x v="0"/>
    <x v="0"/>
  </r>
  <r>
    <x v="18"/>
    <x v="1"/>
    <x v="18"/>
    <x v="3"/>
    <x v="0"/>
    <x v="0"/>
    <x v="0"/>
  </r>
  <r>
    <x v="19"/>
    <x v="1"/>
    <x v="19"/>
    <x v="3"/>
    <x v="0"/>
    <x v="0"/>
    <x v="0"/>
  </r>
  <r>
    <x v="20"/>
    <x v="1"/>
    <x v="20"/>
    <x v="3"/>
    <x v="0"/>
    <x v="0"/>
    <x v="0"/>
  </r>
  <r>
    <x v="21"/>
    <x v="1"/>
    <x v="21"/>
    <x v="3"/>
    <x v="0"/>
    <x v="0"/>
    <x v="0"/>
  </r>
  <r>
    <x v="22"/>
    <x v="1"/>
    <x v="22"/>
    <x v="3"/>
    <x v="0"/>
    <x v="0"/>
    <x v="0"/>
  </r>
  <r>
    <x v="23"/>
    <x v="1"/>
    <x v="23"/>
    <x v="3"/>
    <x v="0"/>
    <x v="0"/>
    <x v="0"/>
  </r>
  <r>
    <x v="24"/>
    <x v="1"/>
    <x v="24"/>
    <x v="3"/>
    <x v="0"/>
    <x v="0"/>
    <x v="0"/>
  </r>
  <r>
    <x v="25"/>
    <x v="1"/>
    <x v="25"/>
    <x v="3"/>
    <x v="0"/>
    <x v="0"/>
    <x v="0"/>
  </r>
  <r>
    <x v="26"/>
    <x v="1"/>
    <x v="26"/>
    <x v="3"/>
    <x v="0"/>
    <x v="0"/>
    <x v="0"/>
  </r>
  <r>
    <x v="27"/>
    <x v="1"/>
    <x v="27"/>
    <x v="3"/>
    <x v="0"/>
    <x v="0"/>
    <x v="0"/>
  </r>
  <r>
    <x v="28"/>
    <x v="1"/>
    <x v="28"/>
    <x v="4"/>
    <x v="1"/>
    <x v="1"/>
    <x v="1"/>
  </r>
  <r>
    <x v="29"/>
    <x v="1"/>
    <x v="29"/>
    <x v="4"/>
    <x v="1"/>
    <x v="1"/>
    <x v="1"/>
  </r>
  <r>
    <x v="30"/>
    <x v="1"/>
    <x v="30"/>
    <x v="4"/>
    <x v="1"/>
    <x v="1"/>
    <x v="1"/>
  </r>
  <r>
    <x v="31"/>
    <x v="1"/>
    <x v="31"/>
    <x v="4"/>
    <x v="1"/>
    <x v="1"/>
    <x v="1"/>
  </r>
  <r>
    <x v="32"/>
    <x v="1"/>
    <x v="32"/>
    <x v="4"/>
    <x v="1"/>
    <x v="1"/>
    <x v="1"/>
  </r>
  <r>
    <x v="33"/>
    <x v="1"/>
    <x v="33"/>
    <x v="4"/>
    <x v="1"/>
    <x v="1"/>
    <x v="1"/>
  </r>
  <r>
    <x v="34"/>
    <x v="1"/>
    <x v="34"/>
    <x v="4"/>
    <x v="1"/>
    <x v="1"/>
    <x v="1"/>
  </r>
  <r>
    <x v="35"/>
    <x v="1"/>
    <x v="35"/>
    <x v="4"/>
    <x v="1"/>
    <x v="1"/>
    <x v="1"/>
  </r>
  <r>
    <x v="36"/>
    <x v="1"/>
    <x v="36"/>
    <x v="2"/>
    <x v="1"/>
    <x v="1"/>
    <x v="1"/>
  </r>
  <r>
    <x v="37"/>
    <x v="1"/>
    <x v="37"/>
    <x v="2"/>
    <x v="1"/>
    <x v="1"/>
    <x v="1"/>
  </r>
  <r>
    <x v="38"/>
    <x v="1"/>
    <x v="38"/>
    <x v="2"/>
    <x v="1"/>
    <x v="1"/>
    <x v="1"/>
  </r>
  <r>
    <x v="39"/>
    <x v="1"/>
    <x v="39"/>
    <x v="5"/>
    <x v="0"/>
    <x v="0"/>
    <x v="0"/>
  </r>
  <r>
    <x v="39"/>
    <x v="1"/>
    <x v="40"/>
    <x v="5"/>
    <x v="0"/>
    <x v="0"/>
    <x v="0"/>
  </r>
  <r>
    <x v="40"/>
    <x v="1"/>
    <x v="41"/>
    <x v="5"/>
    <x v="0"/>
    <x v="0"/>
    <x v="0"/>
  </r>
  <r>
    <x v="41"/>
    <x v="1"/>
    <x v="42"/>
    <x v="5"/>
    <x v="1"/>
    <x v="1"/>
    <x v="1"/>
  </r>
  <r>
    <x v="42"/>
    <x v="1"/>
    <x v="43"/>
    <x v="5"/>
    <x v="1"/>
    <x v="1"/>
    <x v="1"/>
  </r>
  <r>
    <x v="43"/>
    <x v="1"/>
    <x v="44"/>
    <x v="5"/>
    <x v="0"/>
    <x v="0"/>
    <x v="0"/>
  </r>
  <r>
    <x v="44"/>
    <x v="1"/>
    <x v="45"/>
    <x v="5"/>
    <x v="0"/>
    <x v="0"/>
    <x v="0"/>
  </r>
  <r>
    <x v="45"/>
    <x v="1"/>
    <x v="46"/>
    <x v="2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la _x000a_dinámica2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 chartFormat="2">
  <location ref="A91:B96" firstHeaderRow="1" firstDataRow="1" firstDataCol="1"/>
  <pivotFields count="4">
    <pivotField compact="0" showAll="0">
      <items count="75">
        <item x="71"/>
        <item x="19"/>
        <item x="28"/>
        <item x="20"/>
        <item x="29"/>
        <item x="48"/>
        <item x="49"/>
        <item x="50"/>
        <item x="51"/>
        <item x="52"/>
        <item x="53"/>
        <item x="54"/>
        <item x="55"/>
        <item x="60"/>
        <item x="61"/>
        <item x="62"/>
        <item x="63"/>
        <item x="56"/>
        <item x="57"/>
        <item x="58"/>
        <item x="59"/>
        <item x="44"/>
        <item x="45"/>
        <item x="46"/>
        <item x="47"/>
        <item x="0"/>
        <item x="68"/>
        <item x="69"/>
        <item x="10"/>
        <item x="11"/>
        <item x="6"/>
        <item x="40"/>
        <item x="65"/>
        <item x="42"/>
        <item x="43"/>
        <item x="3"/>
        <item x="67"/>
        <item x="23"/>
        <item x="1"/>
        <item x="66"/>
        <item x="31"/>
        <item x="7"/>
        <item x="64"/>
        <item x="4"/>
        <item x="2"/>
        <item x="5"/>
        <item x="18"/>
        <item x="27"/>
        <item x="34"/>
        <item x="24"/>
        <item x="15"/>
        <item x="25"/>
        <item x="22"/>
        <item x="12"/>
        <item x="39"/>
        <item x="72"/>
        <item x="9"/>
        <item x="73"/>
        <item x="8"/>
        <item x="41"/>
        <item x="17"/>
        <item x="16"/>
        <item x="26"/>
        <item x="21"/>
        <item x="30"/>
        <item x="70"/>
        <item x="32"/>
        <item x="33"/>
        <item x="38"/>
        <item x="36"/>
        <item x="35"/>
        <item x="37"/>
        <item x="14"/>
        <item x="13"/>
        <item t="default"/>
      </items>
    </pivotField>
    <pivotField compact="0" showAll="0">
      <items count="10">
        <item x="8"/>
        <item x="1"/>
        <item x="6"/>
        <item x="0"/>
        <item x="3"/>
        <item x="4"/>
        <item x="2"/>
        <item x="7"/>
        <item x="5"/>
        <item t="default"/>
      </items>
    </pivotField>
    <pivotField axis="axisRow" dataField="1" measureFilter="1" compact="0" sortType="ascending" multipleItemSelectionAllowed="1" showAll="0">
      <items count="6">
        <item x="2"/>
        <item x="3"/>
        <item x="0"/>
        <item x="1"/>
        <item m="1" x="4"/>
        <item t="default"/>
      </items>
    </pivotField>
    <pivotField compact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Recuento de Relevancia  operativa" fld="2" subtotal="count" baseField="0" baseItem="0"/>
  </dataFields>
  <formats count="3">
    <format dxfId="0">
      <pivotArea type="all" dataOnly="0" outline="0" fieldPosition="0"/>
    </format>
    <format dxfId="1">
      <pivotArea type="all" dataOnly="0" outline="0" fieldPosition="0"/>
    </format>
    <format dxfId="2">
      <pivotArea type="all" dataOnly="0" outline="0" fieldPosition="0"/>
    </format>
  </formats>
  <pivotTableStyleInfo name="PivotStylePreset2_Accent1" showRowHeaders="1" showColHeaders="1"/>
  <filters count="1">
    <filter evalOrder="-1" fld="2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 _x000a_dinámica1" cacheId="1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gridDropZones="1" showDrill="1" multipleFieldFilters="0" fieldListSortAscending="1" chartFormat="2">
  <location ref="A217:B225" firstHeaderRow="2" firstDataRow="2" firstDataCol="1"/>
  <pivotFields count="7">
    <pivotField compact="0" showAll="0">
      <items count="47">
        <item x="24"/>
        <item x="33"/>
        <item x="25"/>
        <item x="34"/>
        <item x="0"/>
        <item x="14"/>
        <item x="15"/>
        <item x="7"/>
        <item x="8"/>
        <item x="4"/>
        <item x="39"/>
        <item x="11"/>
        <item x="41"/>
        <item x="42"/>
        <item x="3"/>
        <item x="13"/>
        <item x="28"/>
        <item x="1"/>
        <item x="12"/>
        <item x="9"/>
        <item x="16"/>
        <item x="10"/>
        <item x="2"/>
        <item x="23"/>
        <item x="32"/>
        <item x="29"/>
        <item x="20"/>
        <item x="30"/>
        <item x="27"/>
        <item x="17"/>
        <item x="38"/>
        <item x="44"/>
        <item x="6"/>
        <item x="45"/>
        <item x="5"/>
        <item x="40"/>
        <item x="22"/>
        <item x="21"/>
        <item x="31"/>
        <item x="26"/>
        <item x="35"/>
        <item x="43"/>
        <item x="36"/>
        <item x="37"/>
        <item x="19"/>
        <item x="18"/>
        <item t="default"/>
      </items>
    </pivotField>
    <pivotField compact="0" showAll="0"/>
    <pivotField compact="0" showAll="0"/>
    <pivotField axis="axisRow" compact="0" showAll="0">
      <items count="7">
        <item x="1"/>
        <item x="0"/>
        <item x="2"/>
        <item x="3"/>
        <item x="5"/>
        <item x="4"/>
        <item t="default"/>
      </items>
    </pivotField>
    <pivotField compact="0" showAll="0"/>
    <pivotField compact="0" showAll="0"/>
    <pivotField dataField="1" compact="0" numFmtId="9" showAll="0">
      <items count="3">
        <item x="1"/>
        <item x="0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Promedio de % cobertura de informacion " fld="6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W35"/>
  <sheetViews>
    <sheetView topLeftCell="C1" workbookViewId="0">
      <selection activeCell="A1" sqref="A1:BW1"/>
    </sheetView>
  </sheetViews>
  <sheetFormatPr defaultColWidth="9.14285714285714" defaultRowHeight="15"/>
  <cols>
    <col min="1" max="1" width="15.1428571428571" customWidth="1"/>
    <col min="2" max="2" width="26.5714285714286" customWidth="1"/>
    <col min="3" max="3" width="23" customWidth="1"/>
    <col min="4" max="4" width="15.7142857142857" customWidth="1"/>
    <col min="5" max="5" width="21.5714285714286" customWidth="1"/>
    <col min="6" max="6" width="20" customWidth="1"/>
    <col min="7" max="7" width="28.1428571428571" customWidth="1"/>
    <col min="8" max="8" width="26.8571428571429" customWidth="1"/>
    <col min="9" max="10" width="37.5714285714286" customWidth="1"/>
    <col min="11" max="11" width="15.5714285714286" style="17" customWidth="1"/>
    <col min="12" max="12" width="25.8571428571429" style="17" customWidth="1"/>
    <col min="13" max="13" width="16.4285714285714" customWidth="1"/>
    <col min="14" max="14" width="15.7142857142857" customWidth="1"/>
    <col min="15" max="15" width="16.2857142857143" customWidth="1"/>
    <col min="16" max="16" width="17.8571428571429" customWidth="1"/>
    <col min="17" max="17" width="11.4285714285714" customWidth="1"/>
    <col min="18" max="18" width="11.8571428571429" customWidth="1"/>
    <col min="19" max="19" width="23.8571428571429" customWidth="1"/>
    <col min="20" max="20" width="7" customWidth="1"/>
    <col min="21" max="21" width="7.14285714285714" customWidth="1"/>
    <col min="22" max="22" width="12.8571428571429" customWidth="1"/>
    <col min="23" max="23" width="35" customWidth="1"/>
    <col min="24" max="24" width="27.8571428571429" customWidth="1"/>
    <col min="25" max="25" width="24.1428571428571" customWidth="1"/>
    <col min="26" max="26" width="25.7142857142857" customWidth="1"/>
    <col min="27" max="27" width="12.2857142857143" customWidth="1"/>
    <col min="28" max="28" width="31.7142857142857" customWidth="1"/>
    <col min="29" max="29" width="13.5714285714286" customWidth="1"/>
    <col min="30" max="30" width="13.7142857142857" customWidth="1"/>
    <col min="31" max="31" width="19.8571428571429" customWidth="1"/>
    <col min="32" max="32" width="19.5714285714286" customWidth="1"/>
    <col min="33" max="33" width="26.7142857142857" customWidth="1"/>
    <col min="34" max="34" width="27.8571428571429" customWidth="1"/>
    <col min="35" max="35" width="21.2857142857143" customWidth="1"/>
    <col min="36" max="36" width="16.8571428571429" customWidth="1"/>
    <col min="37" max="37" width="17.5714285714286" customWidth="1"/>
    <col min="38" max="38" width="12.5714285714286" customWidth="1"/>
    <col min="39" max="39" width="13.5714285714286" customWidth="1"/>
    <col min="40" max="40" width="31.5714285714286" customWidth="1"/>
    <col min="41" max="42" width="15.7142857142857" customWidth="1"/>
    <col min="43" max="43" width="21.2857142857143" customWidth="1"/>
    <col min="44" max="44" width="17" customWidth="1"/>
    <col min="45" max="45" width="24.4285714285714" customWidth="1"/>
    <col min="46" max="49" width="13" customWidth="1"/>
    <col min="50" max="53" width="17.7142857142857" customWidth="1"/>
    <col min="54" max="57" width="17.5714285714286" customWidth="1"/>
    <col min="58" max="61" width="14" customWidth="1"/>
    <col min="62" max="65" width="11" customWidth="1"/>
    <col min="66" max="66" width="18.1428571428571" customWidth="1"/>
    <col min="67" max="67" width="18.7142857142857" customWidth="1"/>
    <col min="68" max="68" width="19" customWidth="1"/>
    <col min="69" max="69" width="22.7142857142857" customWidth="1"/>
    <col min="70" max="71" width="19.4285714285714" customWidth="1"/>
    <col min="72" max="72" width="16.5714285714286" customWidth="1"/>
    <col min="73" max="73" width="45.1428571428571" customWidth="1"/>
    <col min="74" max="74" width="20" customWidth="1"/>
    <col min="75" max="75" width="11.7142857142857" customWidth="1"/>
  </cols>
  <sheetData>
    <row r="1" spans="1: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7" t="s">
        <v>10</v>
      </c>
      <c r="L1" s="17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</row>
    <row r="2" spans="1:75">
      <c r="A2" t="s">
        <v>74</v>
      </c>
      <c r="C2" t="s">
        <v>75</v>
      </c>
      <c r="D2" t="s">
        <v>76</v>
      </c>
      <c r="F2" t="s">
        <v>77</v>
      </c>
      <c r="G2" t="s">
        <v>78</v>
      </c>
      <c r="H2" t="s">
        <v>79</v>
      </c>
      <c r="I2" t="s">
        <v>80</v>
      </c>
      <c r="J2" t="s">
        <v>80</v>
      </c>
      <c r="K2" s="17">
        <v>7798083661333</v>
      </c>
      <c r="L2" s="17">
        <v>7798083661333</v>
      </c>
      <c r="M2" t="s">
        <v>81</v>
      </c>
      <c r="N2">
        <v>0.069471</v>
      </c>
      <c r="O2">
        <v>0.069471</v>
      </c>
      <c r="P2" t="s">
        <v>82</v>
      </c>
      <c r="Q2">
        <v>10</v>
      </c>
      <c r="R2">
        <v>10</v>
      </c>
      <c r="S2" t="s">
        <v>83</v>
      </c>
      <c r="T2">
        <v>0.31</v>
      </c>
      <c r="U2">
        <v>0.83</v>
      </c>
      <c r="V2">
        <v>0.27</v>
      </c>
      <c r="W2" t="s">
        <v>84</v>
      </c>
      <c r="AO2" t="s">
        <v>85</v>
      </c>
      <c r="AP2">
        <v>240</v>
      </c>
      <c r="AQ2" t="s">
        <v>86</v>
      </c>
      <c r="BT2" t="s">
        <v>87</v>
      </c>
      <c r="BU2" t="s">
        <v>88</v>
      </c>
      <c r="BV2" t="s">
        <v>89</v>
      </c>
      <c r="BW2">
        <v>3</v>
      </c>
    </row>
    <row r="3" spans="1:75">
      <c r="A3" t="s">
        <v>90</v>
      </c>
      <c r="C3" t="s">
        <v>75</v>
      </c>
      <c r="D3" t="s">
        <v>76</v>
      </c>
      <c r="F3" t="s">
        <v>77</v>
      </c>
      <c r="G3" t="s">
        <v>78</v>
      </c>
      <c r="H3" t="s">
        <v>79</v>
      </c>
      <c r="I3" t="s">
        <v>91</v>
      </c>
      <c r="J3" t="s">
        <v>91</v>
      </c>
      <c r="K3" s="17">
        <v>7798083661340</v>
      </c>
      <c r="L3" s="17">
        <v>7798083661340</v>
      </c>
      <c r="M3" t="s">
        <v>81</v>
      </c>
      <c r="N3">
        <v>0.16371912</v>
      </c>
      <c r="O3">
        <v>0.16371912</v>
      </c>
      <c r="P3" t="s">
        <v>82</v>
      </c>
      <c r="Q3">
        <v>30</v>
      </c>
      <c r="R3">
        <v>30</v>
      </c>
      <c r="S3" t="s">
        <v>83</v>
      </c>
      <c r="T3">
        <v>0.53</v>
      </c>
      <c r="U3">
        <v>0.844</v>
      </c>
      <c r="V3">
        <v>0.366</v>
      </c>
      <c r="W3" t="s">
        <v>84</v>
      </c>
      <c r="AO3" t="s">
        <v>85</v>
      </c>
      <c r="AP3">
        <v>240</v>
      </c>
      <c r="AQ3" t="s">
        <v>86</v>
      </c>
      <c r="BT3" t="s">
        <v>87</v>
      </c>
      <c r="BU3" t="s">
        <v>88</v>
      </c>
      <c r="BV3" t="s">
        <v>89</v>
      </c>
      <c r="BW3">
        <v>3</v>
      </c>
    </row>
    <row r="4" spans="1:75">
      <c r="A4" t="s">
        <v>92</v>
      </c>
      <c r="C4" t="s">
        <v>75</v>
      </c>
      <c r="D4" t="s">
        <v>76</v>
      </c>
      <c r="F4" t="s">
        <v>77</v>
      </c>
      <c r="G4" t="s">
        <v>78</v>
      </c>
      <c r="H4" t="s">
        <v>79</v>
      </c>
      <c r="I4" t="s">
        <v>93</v>
      </c>
      <c r="J4" t="s">
        <v>93</v>
      </c>
      <c r="K4" s="17">
        <v>7798083661173</v>
      </c>
      <c r="L4" s="17">
        <v>7798083661173</v>
      </c>
      <c r="M4" t="s">
        <v>81</v>
      </c>
      <c r="N4">
        <v>0.098553</v>
      </c>
      <c r="O4">
        <v>0.098553</v>
      </c>
      <c r="P4" t="s">
        <v>82</v>
      </c>
      <c r="Q4">
        <v>13</v>
      </c>
      <c r="R4">
        <v>13</v>
      </c>
      <c r="S4" t="s">
        <v>83</v>
      </c>
      <c r="T4">
        <v>0.38</v>
      </c>
      <c r="U4">
        <v>0.91</v>
      </c>
      <c r="V4">
        <v>0.285</v>
      </c>
      <c r="W4" t="s">
        <v>84</v>
      </c>
      <c r="AO4" t="s">
        <v>85</v>
      </c>
      <c r="AP4">
        <v>240</v>
      </c>
      <c r="AQ4" t="s">
        <v>86</v>
      </c>
      <c r="BT4" t="s">
        <v>87</v>
      </c>
      <c r="BU4" t="s">
        <v>88</v>
      </c>
      <c r="BV4" t="s">
        <v>89</v>
      </c>
      <c r="BW4">
        <v>3</v>
      </c>
    </row>
    <row r="5" spans="1:75">
      <c r="A5" t="s">
        <v>94</v>
      </c>
      <c r="C5" t="s">
        <v>75</v>
      </c>
      <c r="D5" t="s">
        <v>76</v>
      </c>
      <c r="F5" t="s">
        <v>77</v>
      </c>
      <c r="G5" t="s">
        <v>78</v>
      </c>
      <c r="H5" t="s">
        <v>79</v>
      </c>
      <c r="I5" t="s">
        <v>95</v>
      </c>
      <c r="J5" t="s">
        <v>95</v>
      </c>
      <c r="K5" s="17">
        <v>7798083661364</v>
      </c>
      <c r="L5" s="17">
        <v>7798083661364</v>
      </c>
      <c r="M5" t="s">
        <v>81</v>
      </c>
      <c r="N5">
        <v>0.18067</v>
      </c>
      <c r="O5">
        <v>0.18067</v>
      </c>
      <c r="P5" t="s">
        <v>82</v>
      </c>
      <c r="Q5">
        <v>45</v>
      </c>
      <c r="R5">
        <v>45</v>
      </c>
      <c r="S5" t="s">
        <v>83</v>
      </c>
      <c r="T5">
        <v>0.58</v>
      </c>
      <c r="U5">
        <v>0.89</v>
      </c>
      <c r="V5">
        <v>0.35</v>
      </c>
      <c r="W5" t="s">
        <v>84</v>
      </c>
      <c r="AO5" t="s">
        <v>85</v>
      </c>
      <c r="AP5">
        <v>240</v>
      </c>
      <c r="AQ5" t="s">
        <v>86</v>
      </c>
      <c r="BT5" t="s">
        <v>87</v>
      </c>
      <c r="BU5" t="s">
        <v>88</v>
      </c>
      <c r="BV5" t="s">
        <v>89</v>
      </c>
      <c r="BW5">
        <v>3</v>
      </c>
    </row>
    <row r="6" spans="1:75">
      <c r="A6" t="s">
        <v>96</v>
      </c>
      <c r="C6" t="s">
        <v>75</v>
      </c>
      <c r="D6" t="s">
        <v>76</v>
      </c>
      <c r="F6" t="s">
        <v>77</v>
      </c>
      <c r="G6" t="s">
        <v>78</v>
      </c>
      <c r="H6" t="s">
        <v>79</v>
      </c>
      <c r="I6" t="s">
        <v>97</v>
      </c>
      <c r="J6" t="s">
        <v>97</v>
      </c>
      <c r="K6" s="17">
        <v>7798083661371</v>
      </c>
      <c r="L6" s="17">
        <v>7798083661371</v>
      </c>
      <c r="M6" t="s">
        <v>81</v>
      </c>
      <c r="N6">
        <v>0.14012</v>
      </c>
      <c r="O6">
        <v>0.14012</v>
      </c>
      <c r="P6" t="s">
        <v>82</v>
      </c>
      <c r="Q6">
        <v>19</v>
      </c>
      <c r="R6">
        <v>19</v>
      </c>
      <c r="S6" t="s">
        <v>83</v>
      </c>
      <c r="T6">
        <v>0.4</v>
      </c>
      <c r="U6">
        <v>1.13</v>
      </c>
      <c r="V6">
        <v>0.31</v>
      </c>
      <c r="W6" t="s">
        <v>84</v>
      </c>
      <c r="AO6" t="s">
        <v>85</v>
      </c>
      <c r="AP6">
        <v>240</v>
      </c>
      <c r="AQ6" t="s">
        <v>86</v>
      </c>
      <c r="BT6" t="s">
        <v>87</v>
      </c>
      <c r="BU6" t="s">
        <v>88</v>
      </c>
      <c r="BV6" t="s">
        <v>89</v>
      </c>
      <c r="BW6">
        <v>3</v>
      </c>
    </row>
    <row r="7" spans="1:75">
      <c r="A7" t="s">
        <v>98</v>
      </c>
      <c r="C7" t="s">
        <v>75</v>
      </c>
      <c r="D7" t="s">
        <v>76</v>
      </c>
      <c r="F7" t="s">
        <v>77</v>
      </c>
      <c r="G7" t="s">
        <v>78</v>
      </c>
      <c r="H7" t="s">
        <v>79</v>
      </c>
      <c r="I7" t="s">
        <v>99</v>
      </c>
      <c r="J7" t="s">
        <v>99</v>
      </c>
      <c r="K7" s="17">
        <v>7798083661210</v>
      </c>
      <c r="L7" s="17">
        <v>7798083661210</v>
      </c>
      <c r="M7" t="s">
        <v>81</v>
      </c>
      <c r="N7">
        <v>0.316932</v>
      </c>
      <c r="O7">
        <v>0.316932</v>
      </c>
      <c r="P7" t="s">
        <v>82</v>
      </c>
      <c r="Q7">
        <v>63</v>
      </c>
      <c r="R7">
        <v>63</v>
      </c>
      <c r="S7" t="s">
        <v>83</v>
      </c>
      <c r="T7">
        <v>0.77</v>
      </c>
      <c r="U7">
        <v>0.98</v>
      </c>
      <c r="V7">
        <v>0.42</v>
      </c>
      <c r="W7" t="s">
        <v>84</v>
      </c>
      <c r="AO7" t="s">
        <v>85</v>
      </c>
      <c r="AP7">
        <v>240</v>
      </c>
      <c r="AQ7" t="s">
        <v>86</v>
      </c>
      <c r="BT7" t="s">
        <v>87</v>
      </c>
      <c r="BU7" t="s">
        <v>88</v>
      </c>
      <c r="BV7" t="s">
        <v>89</v>
      </c>
      <c r="BW7">
        <v>3</v>
      </c>
    </row>
    <row r="8" spans="1:75">
      <c r="A8" t="s">
        <v>100</v>
      </c>
      <c r="C8" t="s">
        <v>75</v>
      </c>
      <c r="D8" t="s">
        <v>76</v>
      </c>
      <c r="F8" t="s">
        <v>77</v>
      </c>
      <c r="G8" t="s">
        <v>78</v>
      </c>
      <c r="H8" t="s">
        <v>79</v>
      </c>
      <c r="I8" t="s">
        <v>101</v>
      </c>
      <c r="J8" t="s">
        <v>101</v>
      </c>
      <c r="K8" s="17">
        <v>7798083661517</v>
      </c>
      <c r="L8" s="17">
        <v>7798083661517</v>
      </c>
      <c r="M8" t="s">
        <v>81</v>
      </c>
      <c r="N8">
        <v>0.1285488</v>
      </c>
      <c r="O8">
        <v>0.1285488</v>
      </c>
      <c r="P8" t="s">
        <v>82</v>
      </c>
      <c r="Q8">
        <v>17</v>
      </c>
      <c r="R8">
        <v>17</v>
      </c>
      <c r="S8" t="s">
        <v>83</v>
      </c>
      <c r="T8">
        <v>0.395</v>
      </c>
      <c r="U8">
        <v>1.13</v>
      </c>
      <c r="V8">
        <v>0.288</v>
      </c>
      <c r="W8" t="s">
        <v>84</v>
      </c>
      <c r="AO8" t="s">
        <v>85</v>
      </c>
      <c r="AP8">
        <v>240</v>
      </c>
      <c r="AQ8" t="s">
        <v>86</v>
      </c>
      <c r="BT8" t="s">
        <v>87</v>
      </c>
      <c r="BU8" t="s">
        <v>88</v>
      </c>
      <c r="BV8" t="s">
        <v>89</v>
      </c>
      <c r="BW8">
        <v>3</v>
      </c>
    </row>
    <row r="9" spans="1:75">
      <c r="A9" t="s">
        <v>102</v>
      </c>
      <c r="C9" t="s">
        <v>75</v>
      </c>
      <c r="D9" t="s">
        <v>76</v>
      </c>
      <c r="F9" t="s">
        <v>77</v>
      </c>
      <c r="G9" t="s">
        <v>78</v>
      </c>
      <c r="H9" t="s">
        <v>79</v>
      </c>
      <c r="I9" t="s">
        <v>103</v>
      </c>
      <c r="J9" t="s">
        <v>103</v>
      </c>
      <c r="K9" s="17">
        <v>7798083661524</v>
      </c>
      <c r="L9" s="17">
        <v>7798083661524</v>
      </c>
      <c r="M9" t="s">
        <v>81</v>
      </c>
      <c r="N9">
        <v>0.308654</v>
      </c>
      <c r="O9">
        <v>0.308654</v>
      </c>
      <c r="P9" t="s">
        <v>82</v>
      </c>
      <c r="Q9">
        <v>50</v>
      </c>
      <c r="R9">
        <v>50</v>
      </c>
      <c r="S9" t="s">
        <v>83</v>
      </c>
      <c r="T9">
        <v>0.74</v>
      </c>
      <c r="U9">
        <v>0.97</v>
      </c>
      <c r="V9">
        <v>0.43</v>
      </c>
      <c r="W9" t="s">
        <v>84</v>
      </c>
      <c r="AO9" t="s">
        <v>85</v>
      </c>
      <c r="AP9">
        <v>240</v>
      </c>
      <c r="AQ9" t="s">
        <v>86</v>
      </c>
      <c r="BT9" t="s">
        <v>87</v>
      </c>
      <c r="BU9" t="s">
        <v>88</v>
      </c>
      <c r="BV9" t="s">
        <v>89</v>
      </c>
      <c r="BW9">
        <v>3</v>
      </c>
    </row>
    <row r="10" spans="1:75">
      <c r="A10" t="s">
        <v>104</v>
      </c>
      <c r="C10" t="s">
        <v>75</v>
      </c>
      <c r="D10" t="s">
        <v>105</v>
      </c>
      <c r="F10" t="s">
        <v>77</v>
      </c>
      <c r="G10" t="s">
        <v>78</v>
      </c>
      <c r="H10" t="s">
        <v>106</v>
      </c>
      <c r="I10" t="s">
        <v>107</v>
      </c>
      <c r="J10" t="s">
        <v>107</v>
      </c>
      <c r="K10" s="17">
        <v>7792004000145</v>
      </c>
      <c r="L10" s="17">
        <v>7792004000145</v>
      </c>
      <c r="M10" t="s">
        <v>81</v>
      </c>
      <c r="N10">
        <v>0.0014976</v>
      </c>
      <c r="O10">
        <v>0.0014976</v>
      </c>
      <c r="P10" t="s">
        <v>82</v>
      </c>
      <c r="Q10">
        <v>1</v>
      </c>
      <c r="R10">
        <v>1</v>
      </c>
      <c r="S10" t="s">
        <v>83</v>
      </c>
      <c r="T10">
        <v>0.12</v>
      </c>
      <c r="U10">
        <v>0.24</v>
      </c>
      <c r="V10">
        <v>0.052</v>
      </c>
      <c r="W10" t="s">
        <v>84</v>
      </c>
      <c r="AO10" t="s">
        <v>108</v>
      </c>
      <c r="AP10">
        <v>244</v>
      </c>
      <c r="AQ10" t="s">
        <v>109</v>
      </c>
      <c r="BT10" t="s">
        <v>87</v>
      </c>
      <c r="BU10" t="s">
        <v>88</v>
      </c>
      <c r="BV10" t="s">
        <v>89</v>
      </c>
      <c r="BW10">
        <v>7</v>
      </c>
    </row>
    <row r="11" spans="1:75">
      <c r="A11" t="s">
        <v>110</v>
      </c>
      <c r="C11" t="s">
        <v>75</v>
      </c>
      <c r="D11" t="s">
        <v>105</v>
      </c>
      <c r="F11" t="s">
        <v>77</v>
      </c>
      <c r="G11" t="s">
        <v>78</v>
      </c>
      <c r="H11" t="s">
        <v>106</v>
      </c>
      <c r="I11" t="s">
        <v>111</v>
      </c>
      <c r="J11" t="s">
        <v>111</v>
      </c>
      <c r="K11" s="17">
        <v>7792006000124</v>
      </c>
      <c r="L11" s="17">
        <v>7792006000124</v>
      </c>
      <c r="M11" t="s">
        <v>81</v>
      </c>
      <c r="N11">
        <v>0.0013104</v>
      </c>
      <c r="O11">
        <v>0.0013104</v>
      </c>
      <c r="P11" t="s">
        <v>82</v>
      </c>
      <c r="Q11">
        <v>1</v>
      </c>
      <c r="R11">
        <v>1</v>
      </c>
      <c r="S11" t="s">
        <v>83</v>
      </c>
      <c r="T11">
        <v>0.12</v>
      </c>
      <c r="U11">
        <v>0.21</v>
      </c>
      <c r="V11">
        <v>0.052</v>
      </c>
      <c r="W11" t="s">
        <v>84</v>
      </c>
      <c r="AO11" t="s">
        <v>108</v>
      </c>
      <c r="AP11">
        <v>244</v>
      </c>
      <c r="AQ11" t="s">
        <v>109</v>
      </c>
      <c r="BT11" t="s">
        <v>87</v>
      </c>
      <c r="BU11" t="s">
        <v>88</v>
      </c>
      <c r="BV11" t="s">
        <v>89</v>
      </c>
      <c r="BW11">
        <v>7</v>
      </c>
    </row>
    <row r="12" spans="1:75">
      <c r="A12" t="s">
        <v>110</v>
      </c>
      <c r="C12" t="s">
        <v>75</v>
      </c>
      <c r="D12" t="s">
        <v>105</v>
      </c>
      <c r="F12" t="s">
        <v>77</v>
      </c>
      <c r="G12" t="s">
        <v>78</v>
      </c>
      <c r="H12" t="s">
        <v>106</v>
      </c>
      <c r="I12" t="s">
        <v>111</v>
      </c>
      <c r="J12" t="s">
        <v>111</v>
      </c>
      <c r="K12" s="17">
        <v>7792006000124</v>
      </c>
      <c r="L12" s="17">
        <v>7792006000124</v>
      </c>
      <c r="M12" t="s">
        <v>81</v>
      </c>
      <c r="N12">
        <v>0.0013104</v>
      </c>
      <c r="O12">
        <v>0.0013104</v>
      </c>
      <c r="P12" t="s">
        <v>82</v>
      </c>
      <c r="Q12">
        <v>1</v>
      </c>
      <c r="R12">
        <v>1</v>
      </c>
      <c r="S12" t="s">
        <v>83</v>
      </c>
      <c r="T12">
        <v>0.12</v>
      </c>
      <c r="U12">
        <v>0.21</v>
      </c>
      <c r="V12">
        <v>0.052</v>
      </c>
      <c r="W12" t="s">
        <v>84</v>
      </c>
      <c r="AO12" t="s">
        <v>108</v>
      </c>
      <c r="AP12">
        <v>244</v>
      </c>
      <c r="AQ12" t="s">
        <v>109</v>
      </c>
      <c r="BT12" t="s">
        <v>87</v>
      </c>
      <c r="BU12" t="s">
        <v>88</v>
      </c>
      <c r="BV12" t="s">
        <v>89</v>
      </c>
      <c r="BW12">
        <v>7</v>
      </c>
    </row>
    <row r="13" spans="1:75">
      <c r="A13" t="s">
        <v>110</v>
      </c>
      <c r="C13" t="s">
        <v>75</v>
      </c>
      <c r="D13" t="s">
        <v>105</v>
      </c>
      <c r="F13" t="s">
        <v>77</v>
      </c>
      <c r="G13" t="s">
        <v>78</v>
      </c>
      <c r="H13" t="s">
        <v>106</v>
      </c>
      <c r="I13" t="s">
        <v>111</v>
      </c>
      <c r="J13" t="s">
        <v>111</v>
      </c>
      <c r="K13" s="17">
        <v>7792006000124</v>
      </c>
      <c r="L13" s="17">
        <v>7792006000124</v>
      </c>
      <c r="M13" t="s">
        <v>81</v>
      </c>
      <c r="N13">
        <v>0.0013104</v>
      </c>
      <c r="O13">
        <v>0.0013104</v>
      </c>
      <c r="P13" t="s">
        <v>82</v>
      </c>
      <c r="Q13">
        <v>1</v>
      </c>
      <c r="R13">
        <v>1</v>
      </c>
      <c r="S13" t="s">
        <v>83</v>
      </c>
      <c r="T13">
        <v>0.12</v>
      </c>
      <c r="U13">
        <v>0.21</v>
      </c>
      <c r="V13">
        <v>0.052</v>
      </c>
      <c r="W13" t="s">
        <v>84</v>
      </c>
      <c r="AO13" t="s">
        <v>108</v>
      </c>
      <c r="AP13">
        <v>244</v>
      </c>
      <c r="AQ13" t="s">
        <v>109</v>
      </c>
      <c r="BT13" t="s">
        <v>87</v>
      </c>
      <c r="BU13" t="s">
        <v>88</v>
      </c>
      <c r="BV13" t="s">
        <v>89</v>
      </c>
      <c r="BW13">
        <v>7</v>
      </c>
    </row>
    <row r="14" spans="1:75">
      <c r="A14" t="s">
        <v>110</v>
      </c>
      <c r="C14" t="s">
        <v>75</v>
      </c>
      <c r="D14" t="s">
        <v>105</v>
      </c>
      <c r="F14" t="s">
        <v>77</v>
      </c>
      <c r="G14" t="s">
        <v>78</v>
      </c>
      <c r="H14" t="s">
        <v>106</v>
      </c>
      <c r="I14" t="s">
        <v>111</v>
      </c>
      <c r="J14" t="s">
        <v>111</v>
      </c>
      <c r="K14" s="17">
        <v>7792006000124</v>
      </c>
      <c r="L14" s="17">
        <v>7792006000124</v>
      </c>
      <c r="M14" t="s">
        <v>81</v>
      </c>
      <c r="N14">
        <v>0.0013104</v>
      </c>
      <c r="O14">
        <v>0.0013104</v>
      </c>
      <c r="P14" t="s">
        <v>82</v>
      </c>
      <c r="Q14">
        <v>1</v>
      </c>
      <c r="R14">
        <v>1</v>
      </c>
      <c r="S14" t="s">
        <v>83</v>
      </c>
      <c r="T14">
        <v>0.12</v>
      </c>
      <c r="U14">
        <v>0.21</v>
      </c>
      <c r="V14">
        <v>0.052</v>
      </c>
      <c r="W14" t="s">
        <v>84</v>
      </c>
      <c r="AO14" t="s">
        <v>108</v>
      </c>
      <c r="AP14">
        <v>244</v>
      </c>
      <c r="AQ14" t="s">
        <v>109</v>
      </c>
      <c r="BT14" t="s">
        <v>87</v>
      </c>
      <c r="BU14" t="s">
        <v>88</v>
      </c>
      <c r="BV14" t="s">
        <v>89</v>
      </c>
      <c r="BW14">
        <v>7</v>
      </c>
    </row>
    <row r="15" spans="1:75">
      <c r="A15" t="s">
        <v>112</v>
      </c>
      <c r="C15" t="s">
        <v>75</v>
      </c>
      <c r="D15" t="s">
        <v>76</v>
      </c>
      <c r="F15" t="s">
        <v>77</v>
      </c>
      <c r="G15" t="s">
        <v>78</v>
      </c>
      <c r="H15" t="s">
        <v>79</v>
      </c>
      <c r="I15" t="s">
        <v>113</v>
      </c>
      <c r="J15" t="s">
        <v>113</v>
      </c>
      <c r="K15" s="17">
        <v>7798083661180</v>
      </c>
      <c r="L15" s="17">
        <v>7798083661180</v>
      </c>
      <c r="M15" t="s">
        <v>81</v>
      </c>
      <c r="N15">
        <v>0.18067</v>
      </c>
      <c r="O15">
        <v>0.18067</v>
      </c>
      <c r="P15" t="s">
        <v>82</v>
      </c>
      <c r="Q15">
        <v>38</v>
      </c>
      <c r="R15">
        <v>38</v>
      </c>
      <c r="S15" t="s">
        <v>83</v>
      </c>
      <c r="T15">
        <v>0.58</v>
      </c>
      <c r="U15">
        <v>0.89</v>
      </c>
      <c r="V15">
        <v>0.35</v>
      </c>
      <c r="W15" t="s">
        <v>84</v>
      </c>
      <c r="AO15" t="s">
        <v>85</v>
      </c>
      <c r="AP15">
        <v>240</v>
      </c>
      <c r="AQ15" t="s">
        <v>86</v>
      </c>
      <c r="BT15" t="s">
        <v>87</v>
      </c>
      <c r="BU15" t="s">
        <v>88</v>
      </c>
      <c r="BV15" t="s">
        <v>89</v>
      </c>
      <c r="BW15">
        <v>3</v>
      </c>
    </row>
    <row r="16" spans="1:75">
      <c r="A16" t="s">
        <v>114</v>
      </c>
      <c r="C16" t="s">
        <v>75</v>
      </c>
      <c r="D16" t="s">
        <v>76</v>
      </c>
      <c r="F16" t="s">
        <v>77</v>
      </c>
      <c r="G16" t="s">
        <v>78</v>
      </c>
      <c r="H16" t="s">
        <v>79</v>
      </c>
      <c r="I16" t="s">
        <v>115</v>
      </c>
      <c r="J16" t="s">
        <v>115</v>
      </c>
      <c r="K16" s="17">
        <v>7798083661357</v>
      </c>
      <c r="L16" s="17">
        <v>7798083661357</v>
      </c>
      <c r="M16" t="s">
        <v>81</v>
      </c>
      <c r="N16">
        <v>0.14231</v>
      </c>
      <c r="O16">
        <v>0.14231</v>
      </c>
      <c r="P16" t="s">
        <v>82</v>
      </c>
      <c r="Q16">
        <v>15</v>
      </c>
      <c r="R16">
        <v>15</v>
      </c>
      <c r="S16" t="s">
        <v>83</v>
      </c>
      <c r="T16">
        <v>0.38</v>
      </c>
      <c r="U16">
        <v>1.07</v>
      </c>
      <c r="V16">
        <v>0.35</v>
      </c>
      <c r="W16" t="s">
        <v>84</v>
      </c>
      <c r="AO16" t="s">
        <v>85</v>
      </c>
      <c r="AP16">
        <v>240</v>
      </c>
      <c r="AQ16" t="s">
        <v>86</v>
      </c>
      <c r="BT16" t="s">
        <v>87</v>
      </c>
      <c r="BU16" t="s">
        <v>88</v>
      </c>
      <c r="BV16" t="s">
        <v>89</v>
      </c>
      <c r="BW16">
        <v>3</v>
      </c>
    </row>
    <row r="17" spans="1:75">
      <c r="A17" t="s">
        <v>116</v>
      </c>
      <c r="C17" t="s">
        <v>75</v>
      </c>
      <c r="D17" t="s">
        <v>76</v>
      </c>
      <c r="F17" t="s">
        <v>77</v>
      </c>
      <c r="G17" t="s">
        <v>78</v>
      </c>
      <c r="H17" t="s">
        <v>79</v>
      </c>
      <c r="I17" t="s">
        <v>117</v>
      </c>
      <c r="J17" t="s">
        <v>117</v>
      </c>
      <c r="K17" s="17">
        <v>7798083661487</v>
      </c>
      <c r="L17" s="17">
        <v>7798083661487</v>
      </c>
      <c r="M17" t="s">
        <v>81</v>
      </c>
      <c r="N17">
        <v>0.1311975</v>
      </c>
      <c r="O17">
        <v>0.1311975</v>
      </c>
      <c r="P17" t="s">
        <v>82</v>
      </c>
      <c r="Q17">
        <v>29</v>
      </c>
      <c r="R17">
        <v>29</v>
      </c>
      <c r="S17" t="s">
        <v>83</v>
      </c>
      <c r="T17">
        <v>0.49</v>
      </c>
      <c r="U17">
        <v>0.765</v>
      </c>
      <c r="V17">
        <v>0.35</v>
      </c>
      <c r="W17" t="s">
        <v>84</v>
      </c>
      <c r="AO17" t="s">
        <v>85</v>
      </c>
      <c r="AP17">
        <v>240</v>
      </c>
      <c r="AQ17" t="s">
        <v>86</v>
      </c>
      <c r="BT17" t="s">
        <v>87</v>
      </c>
      <c r="BU17" t="s">
        <v>88</v>
      </c>
      <c r="BV17" t="s">
        <v>89</v>
      </c>
      <c r="BW17">
        <v>3</v>
      </c>
    </row>
    <row r="18" spans="1:75">
      <c r="A18" t="s">
        <v>118</v>
      </c>
      <c r="C18" t="s">
        <v>75</v>
      </c>
      <c r="D18" t="s">
        <v>76</v>
      </c>
      <c r="F18" t="s">
        <v>77</v>
      </c>
      <c r="G18" t="s">
        <v>78</v>
      </c>
      <c r="H18" t="s">
        <v>79</v>
      </c>
      <c r="I18" t="s">
        <v>119</v>
      </c>
      <c r="J18" t="s">
        <v>119</v>
      </c>
      <c r="K18" s="17">
        <v>7798083661494</v>
      </c>
      <c r="L18" s="17">
        <v>7798083661494</v>
      </c>
      <c r="M18" t="s">
        <v>81</v>
      </c>
      <c r="N18">
        <v>0.0765948</v>
      </c>
      <c r="O18">
        <v>0.0765948</v>
      </c>
      <c r="P18" t="s">
        <v>82</v>
      </c>
      <c r="Q18">
        <v>12</v>
      </c>
      <c r="R18">
        <v>12</v>
      </c>
      <c r="S18" t="s">
        <v>83</v>
      </c>
      <c r="T18">
        <v>0.355</v>
      </c>
      <c r="U18">
        <v>0.87</v>
      </c>
      <c r="V18">
        <v>0.248</v>
      </c>
      <c r="W18" t="s">
        <v>84</v>
      </c>
      <c r="AO18" t="s">
        <v>85</v>
      </c>
      <c r="AP18">
        <v>240</v>
      </c>
      <c r="AQ18" t="s">
        <v>86</v>
      </c>
      <c r="BT18" t="s">
        <v>87</v>
      </c>
      <c r="BU18" t="s">
        <v>88</v>
      </c>
      <c r="BV18" t="s">
        <v>89</v>
      </c>
      <c r="BW18">
        <v>3</v>
      </c>
    </row>
    <row r="19" spans="1:75">
      <c r="A19" t="s">
        <v>120</v>
      </c>
      <c r="C19" t="s">
        <v>75</v>
      </c>
      <c r="D19" t="s">
        <v>76</v>
      </c>
      <c r="F19" t="s">
        <v>77</v>
      </c>
      <c r="G19" t="s">
        <v>78</v>
      </c>
      <c r="H19" t="s">
        <v>79</v>
      </c>
      <c r="I19" t="s">
        <v>121</v>
      </c>
      <c r="J19" t="s">
        <v>121</v>
      </c>
      <c r="K19" s="17">
        <v>7798083661159</v>
      </c>
      <c r="L19" s="17">
        <v>7798083661159</v>
      </c>
      <c r="M19" t="s">
        <v>81</v>
      </c>
      <c r="N19">
        <v>0.100282</v>
      </c>
      <c r="O19">
        <v>0.100282</v>
      </c>
      <c r="P19" t="s">
        <v>82</v>
      </c>
      <c r="Q19">
        <v>10</v>
      </c>
      <c r="R19">
        <v>10</v>
      </c>
      <c r="S19" t="s">
        <v>83</v>
      </c>
      <c r="T19">
        <v>0.38</v>
      </c>
      <c r="U19">
        <v>0.91</v>
      </c>
      <c r="V19">
        <v>0.29</v>
      </c>
      <c r="W19" t="s">
        <v>84</v>
      </c>
      <c r="AO19" t="s">
        <v>85</v>
      </c>
      <c r="AP19">
        <v>240</v>
      </c>
      <c r="AQ19" t="s">
        <v>86</v>
      </c>
      <c r="BT19" t="s">
        <v>87</v>
      </c>
      <c r="BU19" t="s">
        <v>88</v>
      </c>
      <c r="BV19" t="s">
        <v>89</v>
      </c>
      <c r="BW19">
        <v>3</v>
      </c>
    </row>
    <row r="20" spans="1:75">
      <c r="A20" t="s">
        <v>122</v>
      </c>
      <c r="C20" t="s">
        <v>75</v>
      </c>
      <c r="D20" t="s">
        <v>76</v>
      </c>
      <c r="F20" t="s">
        <v>77</v>
      </c>
      <c r="G20" t="s">
        <v>78</v>
      </c>
      <c r="H20" t="s">
        <v>79</v>
      </c>
      <c r="I20" t="s">
        <v>123</v>
      </c>
      <c r="J20" t="s">
        <v>123</v>
      </c>
      <c r="K20" s="17">
        <v>7798083661166</v>
      </c>
      <c r="L20" s="17">
        <v>7798083661166</v>
      </c>
      <c r="M20" t="s">
        <v>81</v>
      </c>
      <c r="N20">
        <v>0.166685</v>
      </c>
      <c r="O20">
        <v>0.166685</v>
      </c>
      <c r="P20" t="s">
        <v>82</v>
      </c>
      <c r="Q20">
        <v>30</v>
      </c>
      <c r="R20">
        <v>30</v>
      </c>
      <c r="S20" t="s">
        <v>83</v>
      </c>
      <c r="T20">
        <v>0.53</v>
      </c>
      <c r="U20">
        <v>0.85</v>
      </c>
      <c r="V20">
        <v>0.37</v>
      </c>
      <c r="W20" t="s">
        <v>84</v>
      </c>
      <c r="AO20" t="s">
        <v>85</v>
      </c>
      <c r="AP20">
        <v>240</v>
      </c>
      <c r="AQ20" t="s">
        <v>86</v>
      </c>
      <c r="BT20" t="s">
        <v>87</v>
      </c>
      <c r="BU20" t="s">
        <v>88</v>
      </c>
      <c r="BV20" t="s">
        <v>89</v>
      </c>
      <c r="BW20">
        <v>3</v>
      </c>
    </row>
    <row r="21" spans="1:75">
      <c r="A21" t="s">
        <v>124</v>
      </c>
      <c r="C21" t="s">
        <v>75</v>
      </c>
      <c r="D21" t="s">
        <v>76</v>
      </c>
      <c r="F21" t="s">
        <v>77</v>
      </c>
      <c r="G21" t="s">
        <v>78</v>
      </c>
      <c r="H21" t="s">
        <v>79</v>
      </c>
      <c r="I21" t="s">
        <v>125</v>
      </c>
      <c r="J21" t="s">
        <v>125</v>
      </c>
      <c r="K21" s="17">
        <v>7798083661326</v>
      </c>
      <c r="L21" s="17">
        <v>7798083661326</v>
      </c>
      <c r="M21" t="s">
        <v>81</v>
      </c>
      <c r="N21">
        <v>0.18067</v>
      </c>
      <c r="O21">
        <v>0.18067</v>
      </c>
      <c r="P21" t="s">
        <v>82</v>
      </c>
      <c r="Q21">
        <v>29</v>
      </c>
      <c r="R21">
        <v>29</v>
      </c>
      <c r="S21" t="s">
        <v>83</v>
      </c>
      <c r="T21">
        <v>0.58</v>
      </c>
      <c r="U21">
        <v>0.89</v>
      </c>
      <c r="V21">
        <v>0.35</v>
      </c>
      <c r="W21" t="s">
        <v>84</v>
      </c>
      <c r="AO21" t="s">
        <v>85</v>
      </c>
      <c r="AP21">
        <v>240</v>
      </c>
      <c r="AQ21" t="s">
        <v>86</v>
      </c>
      <c r="BT21" t="s">
        <v>87</v>
      </c>
      <c r="BU21" t="s">
        <v>88</v>
      </c>
      <c r="BV21" t="s">
        <v>89</v>
      </c>
      <c r="BW21">
        <v>3</v>
      </c>
    </row>
    <row r="22" spans="1:75">
      <c r="A22" t="s">
        <v>126</v>
      </c>
      <c r="C22" t="s">
        <v>75</v>
      </c>
      <c r="D22" t="s">
        <v>76</v>
      </c>
      <c r="F22" t="s">
        <v>77</v>
      </c>
      <c r="G22" t="s">
        <v>78</v>
      </c>
      <c r="H22" t="s">
        <v>79</v>
      </c>
      <c r="I22" t="s">
        <v>127</v>
      </c>
      <c r="J22" t="s">
        <v>127</v>
      </c>
      <c r="K22" s="17">
        <v>7798083661289</v>
      </c>
      <c r="L22" s="17">
        <v>7798083661289</v>
      </c>
      <c r="M22" t="s">
        <v>81</v>
      </c>
      <c r="N22">
        <v>0.26656</v>
      </c>
      <c r="O22">
        <v>0.26656</v>
      </c>
      <c r="P22" t="s">
        <v>82</v>
      </c>
      <c r="Q22">
        <v>55</v>
      </c>
      <c r="R22">
        <v>55</v>
      </c>
      <c r="S22" t="s">
        <v>83</v>
      </c>
      <c r="T22">
        <v>0.68</v>
      </c>
      <c r="U22">
        <v>0.98</v>
      </c>
      <c r="V22">
        <v>0.4</v>
      </c>
      <c r="W22" t="s">
        <v>84</v>
      </c>
      <c r="AO22" t="s">
        <v>85</v>
      </c>
      <c r="AP22">
        <v>240</v>
      </c>
      <c r="AQ22" t="s">
        <v>86</v>
      </c>
      <c r="BT22" t="s">
        <v>87</v>
      </c>
      <c r="BU22" t="s">
        <v>88</v>
      </c>
      <c r="BV22" t="s">
        <v>89</v>
      </c>
      <c r="BW22">
        <v>3</v>
      </c>
    </row>
    <row r="23" spans="1:75">
      <c r="A23" t="s">
        <v>128</v>
      </c>
      <c r="C23" t="s">
        <v>75</v>
      </c>
      <c r="D23" t="s">
        <v>76</v>
      </c>
      <c r="F23" t="s">
        <v>77</v>
      </c>
      <c r="G23" t="s">
        <v>78</v>
      </c>
      <c r="H23" t="s">
        <v>79</v>
      </c>
      <c r="I23" t="s">
        <v>129</v>
      </c>
      <c r="J23" t="s">
        <v>129</v>
      </c>
      <c r="K23" s="17">
        <v>7798083661388</v>
      </c>
      <c r="L23" s="17">
        <v>7798083661388</v>
      </c>
      <c r="M23" t="s">
        <v>81</v>
      </c>
      <c r="N23">
        <v>0.26656</v>
      </c>
      <c r="O23">
        <v>0.26656</v>
      </c>
      <c r="P23" t="s">
        <v>82</v>
      </c>
      <c r="Q23">
        <v>54</v>
      </c>
      <c r="R23">
        <v>54</v>
      </c>
      <c r="S23" t="s">
        <v>83</v>
      </c>
      <c r="T23">
        <v>0.68</v>
      </c>
      <c r="U23">
        <v>0.98</v>
      </c>
      <c r="V23">
        <v>0.4</v>
      </c>
      <c r="W23" t="s">
        <v>84</v>
      </c>
      <c r="AO23" t="s">
        <v>85</v>
      </c>
      <c r="AP23">
        <v>240</v>
      </c>
      <c r="AQ23" t="s">
        <v>86</v>
      </c>
      <c r="BT23" t="s">
        <v>87</v>
      </c>
      <c r="BU23" t="s">
        <v>88</v>
      </c>
      <c r="BV23" t="s">
        <v>89</v>
      </c>
      <c r="BW23">
        <v>3</v>
      </c>
    </row>
    <row r="24" spans="1:75">
      <c r="A24" t="s">
        <v>130</v>
      </c>
      <c r="C24" t="s">
        <v>75</v>
      </c>
      <c r="D24" t="s">
        <v>76</v>
      </c>
      <c r="F24" t="s">
        <v>77</v>
      </c>
      <c r="G24" t="s">
        <v>78</v>
      </c>
      <c r="H24" t="s">
        <v>79</v>
      </c>
      <c r="I24" t="s">
        <v>131</v>
      </c>
      <c r="J24" t="s">
        <v>131</v>
      </c>
      <c r="K24" s="17">
        <v>7798083661227</v>
      </c>
      <c r="L24" s="17">
        <v>7798083661227</v>
      </c>
      <c r="M24" t="s">
        <v>81</v>
      </c>
      <c r="N24">
        <v>0.1356</v>
      </c>
      <c r="O24">
        <v>0.1356</v>
      </c>
      <c r="P24" t="s">
        <v>82</v>
      </c>
      <c r="Q24">
        <v>18</v>
      </c>
      <c r="R24">
        <v>18</v>
      </c>
      <c r="S24" t="s">
        <v>83</v>
      </c>
      <c r="T24">
        <v>0.4</v>
      </c>
      <c r="U24">
        <v>1.13</v>
      </c>
      <c r="V24">
        <v>0.3</v>
      </c>
      <c r="W24" t="s">
        <v>84</v>
      </c>
      <c r="AO24" t="s">
        <v>85</v>
      </c>
      <c r="AP24">
        <v>240</v>
      </c>
      <c r="AQ24" t="s">
        <v>86</v>
      </c>
      <c r="BT24" t="s">
        <v>87</v>
      </c>
      <c r="BU24" t="s">
        <v>88</v>
      </c>
      <c r="BV24" t="s">
        <v>89</v>
      </c>
      <c r="BW24">
        <v>3</v>
      </c>
    </row>
    <row r="25" spans="1:75">
      <c r="A25" t="s">
        <v>132</v>
      </c>
      <c r="C25" t="s">
        <v>75</v>
      </c>
      <c r="D25" t="s">
        <v>76</v>
      </c>
      <c r="F25" t="s">
        <v>77</v>
      </c>
      <c r="G25" t="s">
        <v>78</v>
      </c>
      <c r="H25" t="s">
        <v>79</v>
      </c>
      <c r="I25" t="s">
        <v>133</v>
      </c>
      <c r="J25" t="s">
        <v>133</v>
      </c>
      <c r="K25" s="17">
        <v>7798083661470</v>
      </c>
      <c r="L25" s="17">
        <v>7798083661470</v>
      </c>
      <c r="M25" t="s">
        <v>81</v>
      </c>
      <c r="N25">
        <v>0.076125</v>
      </c>
      <c r="O25">
        <v>0.076125</v>
      </c>
      <c r="P25" t="s">
        <v>82</v>
      </c>
      <c r="Q25">
        <v>12</v>
      </c>
      <c r="R25">
        <v>12</v>
      </c>
      <c r="S25" t="s">
        <v>83</v>
      </c>
      <c r="T25">
        <v>0.35</v>
      </c>
      <c r="U25">
        <v>0.87</v>
      </c>
      <c r="V25">
        <v>0.25</v>
      </c>
      <c r="W25" t="s">
        <v>84</v>
      </c>
      <c r="AO25" t="s">
        <v>85</v>
      </c>
      <c r="AP25">
        <v>240</v>
      </c>
      <c r="AQ25" t="s">
        <v>86</v>
      </c>
      <c r="BT25" t="s">
        <v>87</v>
      </c>
      <c r="BU25" t="s">
        <v>88</v>
      </c>
      <c r="BV25" t="s">
        <v>89</v>
      </c>
      <c r="BW25">
        <v>3</v>
      </c>
    </row>
    <row r="26" spans="1:75">
      <c r="A26" t="s">
        <v>134</v>
      </c>
      <c r="C26" t="s">
        <v>75</v>
      </c>
      <c r="D26" t="s">
        <v>105</v>
      </c>
      <c r="F26" t="s">
        <v>77</v>
      </c>
      <c r="G26" t="s">
        <v>78</v>
      </c>
      <c r="H26" t="s">
        <v>106</v>
      </c>
      <c r="I26" t="s">
        <v>135</v>
      </c>
      <c r="J26" t="s">
        <v>135</v>
      </c>
      <c r="K26" s="17">
        <v>7792006000209</v>
      </c>
      <c r="L26" s="17">
        <v>7792006000209</v>
      </c>
      <c r="M26" t="s">
        <v>81</v>
      </c>
      <c r="N26">
        <v>0.00144</v>
      </c>
      <c r="O26">
        <v>0.00144</v>
      </c>
      <c r="P26" t="s">
        <v>82</v>
      </c>
      <c r="Q26">
        <v>1</v>
      </c>
      <c r="R26">
        <v>1</v>
      </c>
      <c r="S26" t="s">
        <v>83</v>
      </c>
      <c r="T26">
        <v>0.12</v>
      </c>
      <c r="U26">
        <v>0.24</v>
      </c>
      <c r="V26">
        <v>0.05</v>
      </c>
      <c r="W26" t="s">
        <v>84</v>
      </c>
      <c r="AO26" t="s">
        <v>108</v>
      </c>
      <c r="AP26">
        <v>244</v>
      </c>
      <c r="AQ26" t="s">
        <v>109</v>
      </c>
      <c r="BT26" t="s">
        <v>87</v>
      </c>
      <c r="BU26" t="s">
        <v>88</v>
      </c>
      <c r="BV26" t="s">
        <v>89</v>
      </c>
      <c r="BW26">
        <v>7</v>
      </c>
    </row>
    <row r="27" spans="1:75">
      <c r="A27" t="s">
        <v>136</v>
      </c>
      <c r="C27" t="s">
        <v>75</v>
      </c>
      <c r="D27" t="s">
        <v>105</v>
      </c>
      <c r="F27" t="s">
        <v>77</v>
      </c>
      <c r="G27" t="s">
        <v>78</v>
      </c>
      <c r="H27" t="s">
        <v>106</v>
      </c>
      <c r="I27" t="s">
        <v>137</v>
      </c>
      <c r="J27" t="s">
        <v>137</v>
      </c>
      <c r="K27" s="17">
        <v>7792006000049</v>
      </c>
      <c r="L27" s="17">
        <v>7792006000049</v>
      </c>
      <c r="M27" t="s">
        <v>81</v>
      </c>
      <c r="N27">
        <v>0.0008778</v>
      </c>
      <c r="O27">
        <v>0.0008778</v>
      </c>
      <c r="P27" t="s">
        <v>82</v>
      </c>
      <c r="Q27">
        <v>0.5</v>
      </c>
      <c r="R27">
        <v>0.5</v>
      </c>
      <c r="S27" t="s">
        <v>83</v>
      </c>
      <c r="T27">
        <v>0.11</v>
      </c>
      <c r="U27">
        <v>0.21</v>
      </c>
      <c r="V27">
        <v>0.038</v>
      </c>
      <c r="W27" t="s">
        <v>84</v>
      </c>
      <c r="AO27" t="s">
        <v>108</v>
      </c>
      <c r="AP27">
        <v>244</v>
      </c>
      <c r="AQ27" t="s">
        <v>109</v>
      </c>
      <c r="BT27" t="s">
        <v>87</v>
      </c>
      <c r="BU27" t="s">
        <v>88</v>
      </c>
      <c r="BV27" t="s">
        <v>89</v>
      </c>
      <c r="BW27">
        <v>7</v>
      </c>
    </row>
    <row r="28" spans="1:75">
      <c r="A28" t="s">
        <v>138</v>
      </c>
      <c r="C28" t="s">
        <v>75</v>
      </c>
      <c r="D28" t="s">
        <v>76</v>
      </c>
      <c r="F28" t="s">
        <v>77</v>
      </c>
      <c r="G28" t="s">
        <v>78</v>
      </c>
      <c r="H28" t="s">
        <v>79</v>
      </c>
      <c r="I28" t="s">
        <v>139</v>
      </c>
      <c r="J28" t="s">
        <v>139</v>
      </c>
      <c r="K28" s="17">
        <v>7798083661197</v>
      </c>
      <c r="L28" s="17">
        <v>7798083661197</v>
      </c>
      <c r="M28" t="s">
        <v>81</v>
      </c>
      <c r="N28">
        <v>0.12198</v>
      </c>
      <c r="O28">
        <v>0.12198</v>
      </c>
      <c r="P28" t="s">
        <v>82</v>
      </c>
      <c r="Q28">
        <v>15</v>
      </c>
      <c r="R28">
        <v>15</v>
      </c>
      <c r="S28" t="s">
        <v>83</v>
      </c>
      <c r="T28">
        <v>0.38</v>
      </c>
      <c r="U28">
        <v>1.07</v>
      </c>
      <c r="V28">
        <v>0.3</v>
      </c>
      <c r="W28" t="s">
        <v>84</v>
      </c>
      <c r="AO28" t="s">
        <v>85</v>
      </c>
      <c r="AP28">
        <v>240</v>
      </c>
      <c r="AQ28" t="s">
        <v>86</v>
      </c>
      <c r="BT28" t="s">
        <v>87</v>
      </c>
      <c r="BU28" t="s">
        <v>88</v>
      </c>
      <c r="BV28" t="s">
        <v>89</v>
      </c>
      <c r="BW28">
        <v>3</v>
      </c>
    </row>
    <row r="29" spans="1:75">
      <c r="A29" t="s">
        <v>140</v>
      </c>
      <c r="C29" t="s">
        <v>75</v>
      </c>
      <c r="D29" t="s">
        <v>76</v>
      </c>
      <c r="F29" t="s">
        <v>77</v>
      </c>
      <c r="G29" t="s">
        <v>78</v>
      </c>
      <c r="H29" t="s">
        <v>79</v>
      </c>
      <c r="I29" t="s">
        <v>141</v>
      </c>
      <c r="J29" t="s">
        <v>141</v>
      </c>
      <c r="K29" s="17">
        <v>7798083661203</v>
      </c>
      <c r="L29" s="17">
        <v>7798083661203</v>
      </c>
      <c r="M29" t="s">
        <v>81</v>
      </c>
      <c r="N29">
        <v>0.26656</v>
      </c>
      <c r="O29">
        <v>0.26656</v>
      </c>
      <c r="P29" t="s">
        <v>82</v>
      </c>
      <c r="Q29">
        <v>55</v>
      </c>
      <c r="R29">
        <v>55</v>
      </c>
      <c r="S29" t="s">
        <v>83</v>
      </c>
      <c r="T29">
        <v>0.68</v>
      </c>
      <c r="U29">
        <v>0.98</v>
      </c>
      <c r="V29">
        <v>0.4</v>
      </c>
      <c r="W29" t="s">
        <v>84</v>
      </c>
      <c r="AO29" t="s">
        <v>85</v>
      </c>
      <c r="AP29">
        <v>240</v>
      </c>
      <c r="AQ29" t="s">
        <v>86</v>
      </c>
      <c r="BT29" t="s">
        <v>87</v>
      </c>
      <c r="BU29" t="s">
        <v>88</v>
      </c>
      <c r="BV29" t="s">
        <v>89</v>
      </c>
      <c r="BW29">
        <v>3</v>
      </c>
    </row>
    <row r="30" spans="1:75">
      <c r="A30" t="s">
        <v>142</v>
      </c>
      <c r="C30" t="s">
        <v>75</v>
      </c>
      <c r="D30" t="s">
        <v>76</v>
      </c>
      <c r="F30" t="s">
        <v>77</v>
      </c>
      <c r="G30" t="s">
        <v>78</v>
      </c>
      <c r="H30" t="s">
        <v>79</v>
      </c>
      <c r="I30" t="s">
        <v>143</v>
      </c>
      <c r="J30" t="s">
        <v>143</v>
      </c>
      <c r="K30" s="17" t="s">
        <v>142</v>
      </c>
      <c r="L30" s="17" t="s">
        <v>142</v>
      </c>
      <c r="M30" t="s">
        <v>81</v>
      </c>
      <c r="N30">
        <v>0.12198</v>
      </c>
      <c r="O30">
        <v>0.12198</v>
      </c>
      <c r="P30" t="s">
        <v>82</v>
      </c>
      <c r="Q30">
        <v>16</v>
      </c>
      <c r="R30">
        <v>16</v>
      </c>
      <c r="S30" t="s">
        <v>83</v>
      </c>
      <c r="T30">
        <v>0.38</v>
      </c>
      <c r="U30">
        <v>1.07</v>
      </c>
      <c r="V30">
        <v>0.3</v>
      </c>
      <c r="W30" t="s">
        <v>84</v>
      </c>
      <c r="AO30" t="s">
        <v>85</v>
      </c>
      <c r="AP30">
        <v>240</v>
      </c>
      <c r="AQ30" t="s">
        <v>86</v>
      </c>
      <c r="BT30" t="s">
        <v>87</v>
      </c>
      <c r="BU30" t="s">
        <v>88</v>
      </c>
      <c r="BV30" t="s">
        <v>89</v>
      </c>
      <c r="BW30">
        <v>3</v>
      </c>
    </row>
    <row r="31" spans="1:75">
      <c r="A31" t="s">
        <v>144</v>
      </c>
      <c r="C31" t="s">
        <v>75</v>
      </c>
      <c r="D31" t="s">
        <v>76</v>
      </c>
      <c r="F31" t="s">
        <v>77</v>
      </c>
      <c r="G31" t="s">
        <v>78</v>
      </c>
      <c r="H31" t="s">
        <v>79</v>
      </c>
      <c r="I31" t="s">
        <v>145</v>
      </c>
      <c r="J31" t="s">
        <v>145</v>
      </c>
      <c r="K31" s="17" t="s">
        <v>144</v>
      </c>
      <c r="L31" s="17" t="s">
        <v>144</v>
      </c>
      <c r="M31" t="s">
        <v>81</v>
      </c>
      <c r="N31">
        <v>0.308654</v>
      </c>
      <c r="O31">
        <v>0.308654</v>
      </c>
      <c r="P31" t="s">
        <v>82</v>
      </c>
      <c r="Q31">
        <v>50</v>
      </c>
      <c r="R31">
        <v>50</v>
      </c>
      <c r="S31" t="s">
        <v>83</v>
      </c>
      <c r="T31">
        <v>0.74</v>
      </c>
      <c r="U31">
        <v>0.97</v>
      </c>
      <c r="V31">
        <v>0.43</v>
      </c>
      <c r="W31" t="s">
        <v>84</v>
      </c>
      <c r="AO31" t="s">
        <v>85</v>
      </c>
      <c r="AP31">
        <v>240</v>
      </c>
      <c r="AQ31" t="s">
        <v>86</v>
      </c>
      <c r="BT31" t="s">
        <v>87</v>
      </c>
      <c r="BU31" t="s">
        <v>88</v>
      </c>
      <c r="BV31" t="s">
        <v>89</v>
      </c>
      <c r="BW31">
        <v>3</v>
      </c>
    </row>
    <row r="32" spans="1:75">
      <c r="A32" t="s">
        <v>146</v>
      </c>
      <c r="C32" t="s">
        <v>75</v>
      </c>
      <c r="D32" t="s">
        <v>76</v>
      </c>
      <c r="F32" t="s">
        <v>77</v>
      </c>
      <c r="G32" t="s">
        <v>78</v>
      </c>
      <c r="H32" t="s">
        <v>79</v>
      </c>
      <c r="I32" t="s">
        <v>147</v>
      </c>
      <c r="J32" t="s">
        <v>147</v>
      </c>
      <c r="K32" s="17" t="s">
        <v>146</v>
      </c>
      <c r="L32" s="17" t="s">
        <v>146</v>
      </c>
      <c r="M32" t="s">
        <v>81</v>
      </c>
      <c r="N32">
        <v>0.14013978</v>
      </c>
      <c r="O32">
        <v>0.14013978</v>
      </c>
      <c r="P32" t="s">
        <v>82</v>
      </c>
      <c r="Q32">
        <v>20.5</v>
      </c>
      <c r="R32">
        <v>20.5</v>
      </c>
      <c r="S32" t="s">
        <v>83</v>
      </c>
      <c r="T32">
        <v>0.33</v>
      </c>
      <c r="U32">
        <v>1.067</v>
      </c>
      <c r="V32">
        <v>0.398</v>
      </c>
      <c r="W32" t="s">
        <v>84</v>
      </c>
      <c r="AO32" t="s">
        <v>85</v>
      </c>
      <c r="AP32">
        <v>240</v>
      </c>
      <c r="AQ32" t="s">
        <v>86</v>
      </c>
      <c r="BT32" t="s">
        <v>87</v>
      </c>
      <c r="BU32" t="s">
        <v>88</v>
      </c>
      <c r="BV32" t="s">
        <v>89</v>
      </c>
      <c r="BW32">
        <v>3</v>
      </c>
    </row>
    <row r="33" spans="1:75">
      <c r="A33" t="s">
        <v>148</v>
      </c>
      <c r="C33" t="s">
        <v>75</v>
      </c>
      <c r="D33" t="s">
        <v>76</v>
      </c>
      <c r="F33" t="s">
        <v>77</v>
      </c>
      <c r="G33" t="s">
        <v>78</v>
      </c>
      <c r="H33" t="s">
        <v>79</v>
      </c>
      <c r="I33" t="s">
        <v>149</v>
      </c>
      <c r="J33" t="s">
        <v>149</v>
      </c>
      <c r="K33" s="17" t="s">
        <v>148</v>
      </c>
      <c r="L33" s="17" t="s">
        <v>148</v>
      </c>
      <c r="M33" t="s">
        <v>81</v>
      </c>
      <c r="N33">
        <v>0.3534615</v>
      </c>
      <c r="O33">
        <v>0.3534615</v>
      </c>
      <c r="P33" t="s">
        <v>82</v>
      </c>
      <c r="Q33">
        <v>56</v>
      </c>
      <c r="R33">
        <v>56</v>
      </c>
      <c r="S33" t="s">
        <v>83</v>
      </c>
      <c r="T33">
        <v>0.75</v>
      </c>
      <c r="U33">
        <v>1.029</v>
      </c>
      <c r="V33">
        <v>0.458</v>
      </c>
      <c r="W33" t="s">
        <v>84</v>
      </c>
      <c r="AO33" t="s">
        <v>85</v>
      </c>
      <c r="AP33">
        <v>240</v>
      </c>
      <c r="AQ33" t="s">
        <v>86</v>
      </c>
      <c r="BT33" t="s">
        <v>87</v>
      </c>
      <c r="BU33" t="s">
        <v>88</v>
      </c>
      <c r="BV33" t="s">
        <v>89</v>
      </c>
      <c r="BW33">
        <v>3</v>
      </c>
    </row>
    <row r="34" spans="1:75">
      <c r="A34" t="s">
        <v>150</v>
      </c>
      <c r="C34" t="s">
        <v>75</v>
      </c>
      <c r="D34" t="s">
        <v>76</v>
      </c>
      <c r="F34" t="s">
        <v>77</v>
      </c>
      <c r="G34" t="s">
        <v>78</v>
      </c>
      <c r="H34" t="s">
        <v>79</v>
      </c>
      <c r="I34" t="s">
        <v>151</v>
      </c>
      <c r="J34" t="s">
        <v>151</v>
      </c>
      <c r="K34" s="17">
        <v>7791354000268</v>
      </c>
      <c r="L34" s="17">
        <v>7791354000268</v>
      </c>
      <c r="M34" t="s">
        <v>81</v>
      </c>
      <c r="N34">
        <v>0.140465344</v>
      </c>
      <c r="O34">
        <v>0.140465344</v>
      </c>
      <c r="P34" t="s">
        <v>82</v>
      </c>
      <c r="Q34">
        <v>20.5</v>
      </c>
      <c r="R34">
        <v>20.5</v>
      </c>
      <c r="S34" t="s">
        <v>83</v>
      </c>
      <c r="T34">
        <v>0.328</v>
      </c>
      <c r="U34">
        <v>1.076</v>
      </c>
      <c r="V34">
        <v>0.398</v>
      </c>
      <c r="W34" t="s">
        <v>84</v>
      </c>
      <c r="AO34" t="s">
        <v>85</v>
      </c>
      <c r="AP34">
        <v>240</v>
      </c>
      <c r="AQ34" t="s">
        <v>86</v>
      </c>
      <c r="BT34" t="s">
        <v>87</v>
      </c>
      <c r="BU34" t="s">
        <v>88</v>
      </c>
      <c r="BV34" t="s">
        <v>89</v>
      </c>
      <c r="BW34">
        <v>3</v>
      </c>
    </row>
    <row r="35" spans="1:75">
      <c r="A35" t="s">
        <v>152</v>
      </c>
      <c r="C35" t="s">
        <v>75</v>
      </c>
      <c r="D35" t="s">
        <v>76</v>
      </c>
      <c r="F35" t="s">
        <v>77</v>
      </c>
      <c r="G35" t="s">
        <v>78</v>
      </c>
      <c r="H35" t="s">
        <v>79</v>
      </c>
      <c r="I35" t="s">
        <v>153</v>
      </c>
      <c r="J35" t="s">
        <v>153</v>
      </c>
      <c r="K35" s="17">
        <v>7791354000264</v>
      </c>
      <c r="L35" s="17">
        <v>7791354000264</v>
      </c>
      <c r="M35" t="s">
        <v>81</v>
      </c>
      <c r="N35">
        <v>0.443115</v>
      </c>
      <c r="O35">
        <v>0.443115</v>
      </c>
      <c r="P35" t="s">
        <v>82</v>
      </c>
      <c r="Q35">
        <v>61</v>
      </c>
      <c r="R35">
        <v>61</v>
      </c>
      <c r="S35" t="s">
        <v>83</v>
      </c>
      <c r="T35">
        <v>0.75</v>
      </c>
      <c r="U35">
        <v>1.29</v>
      </c>
      <c r="V35">
        <v>0.458</v>
      </c>
      <c r="W35" t="s">
        <v>84</v>
      </c>
      <c r="AO35" t="s">
        <v>85</v>
      </c>
      <c r="AP35">
        <v>240</v>
      </c>
      <c r="AQ35" t="s">
        <v>86</v>
      </c>
      <c r="BT35" t="s">
        <v>87</v>
      </c>
      <c r="BU35" t="s">
        <v>88</v>
      </c>
      <c r="BV35" t="s">
        <v>89</v>
      </c>
      <c r="BW35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4"/>
  <sheetViews>
    <sheetView tabSelected="1" topLeftCell="A206" workbookViewId="0">
      <selection activeCell="G229" sqref="G229"/>
    </sheetView>
  </sheetViews>
  <sheetFormatPr defaultColWidth="29.1428571428571" defaultRowHeight="14.25"/>
  <cols>
    <col min="1" max="1" width="41.8571428571429" style="2"/>
    <col min="2" max="2" width="13.5714285714286" style="2"/>
    <col min="3" max="3" width="30.4285714285714" style="2"/>
    <col min="4" max="4" width="13.5714285714286" style="2"/>
    <col min="5" max="5" width="29.1428571428571" style="2" customWidth="1"/>
    <col min="6" max="16384" width="29.1428571428571" style="1" customWidth="1"/>
  </cols>
  <sheetData>
    <row r="1" s="1" customFormat="1" spans="1:5">
      <c r="A1" s="2"/>
      <c r="B1" s="2"/>
      <c r="C1" s="2"/>
      <c r="D1" s="2"/>
      <c r="E1" s="2"/>
    </row>
    <row r="2" s="1" customFormat="1" ht="30" spans="1:5">
      <c r="A2" s="3" t="s">
        <v>154</v>
      </c>
      <c r="B2" s="3" t="s">
        <v>155</v>
      </c>
      <c r="C2" s="4" t="s">
        <v>156</v>
      </c>
      <c r="D2" s="4"/>
      <c r="E2" s="5" t="s">
        <v>157</v>
      </c>
    </row>
    <row r="3" s="1" customFormat="1" ht="42.75" spans="1:5">
      <c r="A3" s="6" t="s">
        <v>158</v>
      </c>
      <c r="B3" s="18" t="s">
        <v>159</v>
      </c>
      <c r="C3" s="6">
        <f>ROWS('maestro '!B2:BW35)</f>
        <v>34</v>
      </c>
      <c r="D3" s="6"/>
      <c r="E3" s="7" t="s">
        <v>160</v>
      </c>
    </row>
    <row r="4" s="1" customFormat="1" ht="42.75" spans="1:5">
      <c r="A4" s="6" t="s">
        <v>161</v>
      </c>
      <c r="B4" s="18" t="s">
        <v>162</v>
      </c>
      <c r="C4" s="6">
        <f>COLUMNS('maestro '!B1:BX36)</f>
        <v>75</v>
      </c>
      <c r="D4" s="6"/>
      <c r="E4" s="7" t="s">
        <v>163</v>
      </c>
    </row>
    <row r="5" s="1" customFormat="1" ht="28.5" spans="1:5">
      <c r="A5" s="6" t="s">
        <v>164</v>
      </c>
      <c r="B5" s="18" t="s">
        <v>165</v>
      </c>
      <c r="C5" s="6">
        <f>C4*C3</f>
        <v>2550</v>
      </c>
      <c r="D5" s="6"/>
      <c r="E5" s="7" t="s">
        <v>166</v>
      </c>
    </row>
    <row r="6" s="1" customFormat="1" ht="57" spans="1:5">
      <c r="A6" s="6" t="s">
        <v>167</v>
      </c>
      <c r="B6" s="18" t="s">
        <v>168</v>
      </c>
      <c r="C6" s="6">
        <f>COUNTBLANK('maestro '!A2:BW35)</f>
        <v>1598</v>
      </c>
      <c r="D6" s="6"/>
      <c r="E6" s="7" t="s">
        <v>169</v>
      </c>
    </row>
    <row r="7" s="1" customFormat="1" ht="57" spans="1:5">
      <c r="A7" s="6" t="s">
        <v>170</v>
      </c>
      <c r="B7" s="6" t="s">
        <v>171</v>
      </c>
      <c r="C7" s="6">
        <f>C5-C6</f>
        <v>952</v>
      </c>
      <c r="D7" s="6"/>
      <c r="E7" s="7" t="s">
        <v>172</v>
      </c>
    </row>
    <row r="8" s="1" customFormat="1" ht="57" spans="1:5">
      <c r="A8" s="6" t="s">
        <v>173</v>
      </c>
      <c r="B8" s="18" t="s">
        <v>174</v>
      </c>
      <c r="C8" s="8">
        <f>C7/C5</f>
        <v>0.373333333333333</v>
      </c>
      <c r="D8" s="8"/>
      <c r="E8" s="7" t="s">
        <v>175</v>
      </c>
    </row>
    <row r="9" s="1" customFormat="1" spans="1:5">
      <c r="A9" s="2"/>
      <c r="B9" s="2"/>
      <c r="C9" s="2"/>
      <c r="D9" s="2"/>
      <c r="E9" s="2"/>
    </row>
    <row r="10" s="1" customFormat="1" spans="1:5">
      <c r="A10" s="2" t="s">
        <v>176</v>
      </c>
      <c r="B10" s="2"/>
      <c r="C10" s="2"/>
      <c r="D10" s="2"/>
      <c r="E10" s="2"/>
    </row>
    <row r="11" s="1" customFormat="1" spans="1:5">
      <c r="A11" s="2"/>
      <c r="B11" s="2"/>
      <c r="C11" s="2"/>
      <c r="D11" s="2"/>
      <c r="E11" s="2"/>
    </row>
    <row r="12" s="1" customFormat="1" spans="1:5">
      <c r="A12" s="1" t="s">
        <v>177</v>
      </c>
      <c r="B12" s="1" t="s">
        <v>178</v>
      </c>
      <c r="C12" s="1" t="s">
        <v>179</v>
      </c>
      <c r="D12" s="1"/>
      <c r="E12" s="1" t="s">
        <v>9</v>
      </c>
    </row>
    <row r="13" s="1" customFormat="1" spans="1:5">
      <c r="A13" s="1" t="s">
        <v>0</v>
      </c>
      <c r="B13" s="1" t="s">
        <v>180</v>
      </c>
      <c r="C13" s="1" t="s">
        <v>181</v>
      </c>
      <c r="D13" s="1"/>
      <c r="E13" s="1" t="s">
        <v>182</v>
      </c>
    </row>
    <row r="14" s="1" customFormat="1" spans="1:5">
      <c r="A14" s="1" t="s">
        <v>1</v>
      </c>
      <c r="B14" s="1" t="s">
        <v>180</v>
      </c>
      <c r="C14" s="1" t="s">
        <v>181</v>
      </c>
      <c r="D14" s="1"/>
      <c r="E14" s="1" t="s">
        <v>182</v>
      </c>
    </row>
    <row r="15" s="1" customFormat="1" spans="1:5">
      <c r="A15" s="1" t="s">
        <v>2</v>
      </c>
      <c r="B15" s="1" t="s">
        <v>183</v>
      </c>
      <c r="C15" s="1" t="s">
        <v>181</v>
      </c>
      <c r="D15" s="1"/>
      <c r="E15" s="1" t="s">
        <v>184</v>
      </c>
    </row>
    <row r="16" s="1" customFormat="1" spans="1:5">
      <c r="A16" s="1" t="s">
        <v>3</v>
      </c>
      <c r="B16" s="1" t="s">
        <v>183</v>
      </c>
      <c r="C16" s="1" t="s">
        <v>181</v>
      </c>
      <c r="D16" s="1"/>
      <c r="E16" s="1" t="s">
        <v>184</v>
      </c>
    </row>
    <row r="17" s="1" customFormat="1" spans="1:5">
      <c r="A17" s="1" t="s">
        <v>4</v>
      </c>
      <c r="B17" s="1" t="s">
        <v>185</v>
      </c>
      <c r="C17" s="1" t="s">
        <v>186</v>
      </c>
      <c r="D17" s="1"/>
      <c r="E17" s="1" t="s">
        <v>187</v>
      </c>
    </row>
    <row r="18" s="1" customFormat="1" spans="1:5">
      <c r="A18" s="1" t="s">
        <v>5</v>
      </c>
      <c r="B18" s="1" t="s">
        <v>185</v>
      </c>
      <c r="C18" s="1" t="s">
        <v>186</v>
      </c>
      <c r="D18" s="1"/>
      <c r="E18" s="1" t="s">
        <v>187</v>
      </c>
    </row>
    <row r="19" s="1" customFormat="1" spans="1:5">
      <c r="A19" s="1" t="s">
        <v>6</v>
      </c>
      <c r="B19" s="1" t="s">
        <v>183</v>
      </c>
      <c r="C19" s="1" t="s">
        <v>181</v>
      </c>
      <c r="D19" s="1"/>
      <c r="E19" s="1" t="s">
        <v>184</v>
      </c>
    </row>
    <row r="20" s="1" customFormat="1" spans="1:5">
      <c r="A20" s="1" t="s">
        <v>7</v>
      </c>
      <c r="B20" s="1" t="s">
        <v>188</v>
      </c>
      <c r="C20" s="1" t="s">
        <v>189</v>
      </c>
      <c r="D20" s="1"/>
      <c r="E20" s="1" t="s">
        <v>190</v>
      </c>
    </row>
    <row r="21" s="1" customFormat="1" spans="1:5">
      <c r="A21" s="1" t="s">
        <v>8</v>
      </c>
      <c r="B21" s="1" t="s">
        <v>180</v>
      </c>
      <c r="C21" s="1" t="s">
        <v>181</v>
      </c>
      <c r="D21" s="1"/>
      <c r="E21" s="1" t="s">
        <v>182</v>
      </c>
    </row>
    <row r="22" s="1" customFormat="1" spans="1:5">
      <c r="A22" s="1" t="s">
        <v>9</v>
      </c>
      <c r="B22" s="1" t="s">
        <v>180</v>
      </c>
      <c r="C22" s="1" t="s">
        <v>181</v>
      </c>
      <c r="D22" s="1"/>
      <c r="E22" s="1" t="s">
        <v>182</v>
      </c>
    </row>
    <row r="23" s="1" customFormat="1" spans="1:5">
      <c r="A23" s="1" t="s">
        <v>10</v>
      </c>
      <c r="B23" s="1" t="s">
        <v>180</v>
      </c>
      <c r="C23" s="1" t="s">
        <v>181</v>
      </c>
      <c r="D23" s="1"/>
      <c r="E23" s="1" t="s">
        <v>182</v>
      </c>
    </row>
    <row r="24" s="1" customFormat="1" spans="1:5">
      <c r="A24" s="1" t="s">
        <v>11</v>
      </c>
      <c r="B24" s="1" t="s">
        <v>180</v>
      </c>
      <c r="C24" s="1" t="s">
        <v>181</v>
      </c>
      <c r="D24" s="1"/>
      <c r="E24" s="1" t="s">
        <v>182</v>
      </c>
    </row>
    <row r="25" s="1" customFormat="1" spans="1:5">
      <c r="A25" s="1" t="s">
        <v>12</v>
      </c>
      <c r="B25" s="1" t="s">
        <v>191</v>
      </c>
      <c r="C25" s="1" t="s">
        <v>189</v>
      </c>
      <c r="D25" s="1"/>
      <c r="E25" s="1" t="s">
        <v>192</v>
      </c>
    </row>
    <row r="26" s="1" customFormat="1" spans="1:5">
      <c r="A26" s="1" t="s">
        <v>13</v>
      </c>
      <c r="B26" s="1" t="s">
        <v>191</v>
      </c>
      <c r="C26" s="1" t="s">
        <v>189</v>
      </c>
      <c r="D26" s="1"/>
      <c r="E26" s="1" t="s">
        <v>192</v>
      </c>
    </row>
    <row r="27" s="1" customFormat="1" spans="1:5">
      <c r="A27" s="1" t="s">
        <v>14</v>
      </c>
      <c r="B27" s="1" t="s">
        <v>191</v>
      </c>
      <c r="C27" s="1" t="s">
        <v>189</v>
      </c>
      <c r="D27" s="1"/>
      <c r="E27" s="1" t="s">
        <v>192</v>
      </c>
    </row>
    <row r="28" s="1" customFormat="1" spans="1:5">
      <c r="A28" s="1" t="s">
        <v>15</v>
      </c>
      <c r="B28" s="1" t="s">
        <v>191</v>
      </c>
      <c r="C28" s="1" t="s">
        <v>189</v>
      </c>
      <c r="D28" s="1"/>
      <c r="E28" s="1" t="s">
        <v>192</v>
      </c>
    </row>
    <row r="29" s="1" customFormat="1" spans="1:5">
      <c r="A29" s="1" t="s">
        <v>16</v>
      </c>
      <c r="B29" s="1" t="s">
        <v>191</v>
      </c>
      <c r="C29" s="1" t="s">
        <v>189</v>
      </c>
      <c r="D29" s="1"/>
      <c r="E29" s="1" t="s">
        <v>192</v>
      </c>
    </row>
    <row r="30" s="1" customFormat="1" spans="1:5">
      <c r="A30" s="1" t="s">
        <v>17</v>
      </c>
      <c r="B30" s="1" t="s">
        <v>191</v>
      </c>
      <c r="C30" s="1" t="s">
        <v>189</v>
      </c>
      <c r="D30" s="1"/>
      <c r="E30" s="1" t="s">
        <v>192</v>
      </c>
    </row>
    <row r="31" s="1" customFormat="1" spans="1:5">
      <c r="A31" s="1" t="s">
        <v>18</v>
      </c>
      <c r="B31" s="1" t="s">
        <v>191</v>
      </c>
      <c r="C31" s="1" t="s">
        <v>189</v>
      </c>
      <c r="D31" s="1"/>
      <c r="E31" s="1" t="s">
        <v>192</v>
      </c>
    </row>
    <row r="32" s="1" customFormat="1" spans="1:5">
      <c r="A32" s="1" t="s">
        <v>19</v>
      </c>
      <c r="B32" s="1" t="s">
        <v>191</v>
      </c>
      <c r="C32" s="1" t="s">
        <v>189</v>
      </c>
      <c r="D32" s="1"/>
      <c r="E32" s="1" t="s">
        <v>192</v>
      </c>
    </row>
    <row r="33" s="1" customFormat="1" spans="1:7">
      <c r="A33" s="1" t="s">
        <v>20</v>
      </c>
      <c r="B33" s="1" t="s">
        <v>191</v>
      </c>
      <c r="C33" s="1" t="s">
        <v>189</v>
      </c>
      <c r="D33" s="1"/>
      <c r="E33" s="1" t="s">
        <v>192</v>
      </c>
    </row>
    <row r="34" s="1" customFormat="1" ht="15" spans="1:7">
      <c r="A34" s="9" t="s">
        <v>21</v>
      </c>
      <c r="B34" s="1" t="s">
        <v>191</v>
      </c>
      <c r="C34" s="1" t="s">
        <v>189</v>
      </c>
      <c r="D34" s="1"/>
      <c r="E34" s="1" t="s">
        <v>192</v>
      </c>
      <c r="F34" s="10"/>
      <c r="G34" s="10"/>
    </row>
    <row r="35" s="1" customFormat="1" spans="1:7">
      <c r="A35" s="1" t="s">
        <v>22</v>
      </c>
      <c r="B35" s="1" t="s">
        <v>191</v>
      </c>
      <c r="C35" s="1" t="s">
        <v>189</v>
      </c>
      <c r="D35" s="1"/>
      <c r="E35" s="1" t="s">
        <v>192</v>
      </c>
      <c r="F35" s="11"/>
      <c r="G35" s="2"/>
    </row>
    <row r="36" s="1" customFormat="1" spans="1:7">
      <c r="A36" s="1" t="s">
        <v>23</v>
      </c>
      <c r="B36" s="1" t="s">
        <v>193</v>
      </c>
      <c r="C36" s="1" t="s">
        <v>189</v>
      </c>
      <c r="D36" s="1"/>
      <c r="E36" s="1" t="s">
        <v>194</v>
      </c>
      <c r="F36" s="11"/>
      <c r="G36" s="2"/>
    </row>
    <row r="37" s="1" customFormat="1" spans="1:7">
      <c r="A37" s="1" t="s">
        <v>24</v>
      </c>
      <c r="B37" s="1" t="s">
        <v>193</v>
      </c>
      <c r="C37" s="1" t="s">
        <v>189</v>
      </c>
      <c r="D37" s="1"/>
      <c r="E37" s="1" t="s">
        <v>194</v>
      </c>
      <c r="F37" s="2"/>
      <c r="G37" s="2"/>
    </row>
    <row r="38" s="1" customFormat="1" spans="1:7">
      <c r="A38" s="1" t="s">
        <v>25</v>
      </c>
      <c r="B38" s="1" t="s">
        <v>193</v>
      </c>
      <c r="C38" s="1" t="s">
        <v>189</v>
      </c>
      <c r="D38" s="1"/>
      <c r="E38" s="1" t="s">
        <v>194</v>
      </c>
      <c r="F38" s="2"/>
      <c r="G38" s="2"/>
    </row>
    <row r="39" s="1" customFormat="1" spans="1:7">
      <c r="A39" s="1" t="s">
        <v>26</v>
      </c>
      <c r="B39" s="1" t="s">
        <v>193</v>
      </c>
      <c r="C39" s="1" t="s">
        <v>189</v>
      </c>
      <c r="D39" s="1"/>
      <c r="E39" s="1" t="s">
        <v>194</v>
      </c>
      <c r="F39" s="2"/>
      <c r="G39" s="2"/>
    </row>
    <row r="40" s="1" customFormat="1" spans="1:7">
      <c r="A40" s="1" t="s">
        <v>27</v>
      </c>
      <c r="B40" s="1" t="s">
        <v>193</v>
      </c>
      <c r="C40" s="1" t="s">
        <v>189</v>
      </c>
      <c r="D40" s="1"/>
      <c r="E40" s="1" t="s">
        <v>194</v>
      </c>
      <c r="F40" s="2"/>
      <c r="G40" s="2"/>
    </row>
    <row r="41" s="1" customFormat="1" spans="1:7">
      <c r="A41" s="1" t="s">
        <v>28</v>
      </c>
      <c r="B41" s="1" t="s">
        <v>193</v>
      </c>
      <c r="C41" s="1" t="s">
        <v>189</v>
      </c>
      <c r="D41" s="1"/>
      <c r="E41" s="1" t="s">
        <v>194</v>
      </c>
      <c r="F41" s="2"/>
      <c r="G41" s="2"/>
    </row>
    <row r="42" s="1" customFormat="1" spans="1:7">
      <c r="A42" s="1" t="s">
        <v>29</v>
      </c>
      <c r="B42" s="1" t="s">
        <v>193</v>
      </c>
      <c r="C42" s="1" t="s">
        <v>189</v>
      </c>
      <c r="D42" s="1"/>
      <c r="E42" s="1" t="s">
        <v>194</v>
      </c>
      <c r="F42" s="2"/>
      <c r="G42" s="2"/>
    </row>
    <row r="43" s="1" customFormat="1" spans="1:7">
      <c r="A43" s="1" t="s">
        <v>30</v>
      </c>
      <c r="B43" s="1" t="s">
        <v>193</v>
      </c>
      <c r="C43" s="1" t="s">
        <v>189</v>
      </c>
      <c r="D43" s="1"/>
      <c r="E43" s="1" t="s">
        <v>194</v>
      </c>
      <c r="F43" s="2"/>
      <c r="G43" s="2"/>
    </row>
    <row r="44" s="1" customFormat="1" spans="1:7">
      <c r="A44" s="1" t="s">
        <v>31</v>
      </c>
      <c r="B44" s="1" t="s">
        <v>180</v>
      </c>
      <c r="C44" s="1" t="s">
        <v>181</v>
      </c>
      <c r="D44" s="1"/>
      <c r="E44" s="1" t="s">
        <v>182</v>
      </c>
      <c r="F44" s="2"/>
      <c r="G44" s="2"/>
    </row>
    <row r="45" s="1" customFormat="1" spans="1:7">
      <c r="A45" s="1" t="s">
        <v>32</v>
      </c>
      <c r="B45" s="1" t="s">
        <v>188</v>
      </c>
      <c r="C45" s="1" t="s">
        <v>189</v>
      </c>
      <c r="D45" s="1"/>
      <c r="E45" s="1" t="s">
        <v>190</v>
      </c>
    </row>
    <row r="46" s="1" customFormat="1" spans="1:7">
      <c r="A46" s="1" t="s">
        <v>33</v>
      </c>
      <c r="B46" s="1" t="s">
        <v>188</v>
      </c>
      <c r="C46" s="1" t="s">
        <v>189</v>
      </c>
      <c r="D46" s="1"/>
      <c r="E46" s="1" t="s">
        <v>190</v>
      </c>
    </row>
    <row r="47" s="1" customFormat="1" spans="1:7">
      <c r="A47" s="1" t="s">
        <v>34</v>
      </c>
      <c r="B47" s="1" t="s">
        <v>195</v>
      </c>
      <c r="C47" s="1" t="s">
        <v>186</v>
      </c>
      <c r="D47" s="1"/>
      <c r="E47" s="1" t="s">
        <v>196</v>
      </c>
    </row>
    <row r="48" s="1" customFormat="1" spans="1:7">
      <c r="A48" s="1" t="s">
        <v>35</v>
      </c>
      <c r="B48" s="1" t="s">
        <v>195</v>
      </c>
      <c r="C48" s="1" t="s">
        <v>186</v>
      </c>
      <c r="D48" s="1"/>
      <c r="E48" s="1" t="s">
        <v>196</v>
      </c>
    </row>
    <row r="49" s="1" customFormat="1" spans="1:5">
      <c r="A49" s="1" t="s">
        <v>36</v>
      </c>
      <c r="B49" s="1" t="s">
        <v>195</v>
      </c>
      <c r="C49" s="1" t="s">
        <v>186</v>
      </c>
      <c r="D49" s="1"/>
      <c r="E49" s="1" t="s">
        <v>196</v>
      </c>
    </row>
    <row r="50" s="1" customFormat="1" spans="1:5">
      <c r="A50" s="1" t="s">
        <v>37</v>
      </c>
      <c r="B50" s="1" t="s">
        <v>195</v>
      </c>
      <c r="C50" s="1" t="s">
        <v>186</v>
      </c>
      <c r="D50" s="1"/>
      <c r="E50" s="1" t="s">
        <v>196</v>
      </c>
    </row>
    <row r="51" s="1" customFormat="1" spans="1:5">
      <c r="A51" s="1" t="s">
        <v>38</v>
      </c>
      <c r="B51" s="1" t="s">
        <v>195</v>
      </c>
      <c r="C51" s="1" t="s">
        <v>186</v>
      </c>
      <c r="D51" s="1"/>
      <c r="E51" s="1" t="s">
        <v>196</v>
      </c>
    </row>
    <row r="52" s="1" customFormat="1" spans="1:5">
      <c r="A52" s="1" t="s">
        <v>39</v>
      </c>
      <c r="B52" s="1" t="s">
        <v>188</v>
      </c>
      <c r="C52" s="1" t="s">
        <v>189</v>
      </c>
      <c r="D52" s="1"/>
      <c r="E52" s="1" t="s">
        <v>190</v>
      </c>
    </row>
    <row r="53" s="1" customFormat="1" spans="1:5">
      <c r="A53" s="1" t="s">
        <v>40</v>
      </c>
      <c r="B53" s="1" t="s">
        <v>197</v>
      </c>
      <c r="C53" s="1" t="s">
        <v>189</v>
      </c>
      <c r="D53" s="1"/>
      <c r="E53" s="1" t="s">
        <v>198</v>
      </c>
    </row>
    <row r="54" s="1" customFormat="1" spans="1:5">
      <c r="A54" s="1" t="s">
        <v>40</v>
      </c>
      <c r="B54" s="1" t="s">
        <v>197</v>
      </c>
      <c r="C54" s="1" t="s">
        <v>189</v>
      </c>
      <c r="D54" s="1"/>
      <c r="E54" s="1" t="s">
        <v>198</v>
      </c>
    </row>
    <row r="55" s="1" customFormat="1" spans="1:5">
      <c r="A55" s="1" t="s">
        <v>41</v>
      </c>
      <c r="B55" s="1" t="s">
        <v>197</v>
      </c>
      <c r="C55" s="1" t="s">
        <v>189</v>
      </c>
      <c r="D55" s="1"/>
      <c r="E55" s="1" t="s">
        <v>198</v>
      </c>
    </row>
    <row r="56" s="1" customFormat="1" spans="1:5">
      <c r="A56" s="1" t="s">
        <v>42</v>
      </c>
      <c r="B56" s="1" t="s">
        <v>197</v>
      </c>
      <c r="C56" s="1" t="s">
        <v>189</v>
      </c>
      <c r="D56" s="1"/>
      <c r="E56" s="1" t="s">
        <v>198</v>
      </c>
    </row>
    <row r="57" s="1" customFormat="1" spans="1:5">
      <c r="A57" s="1" t="s">
        <v>43</v>
      </c>
      <c r="B57" s="1" t="s">
        <v>197</v>
      </c>
      <c r="C57" s="1" t="s">
        <v>189</v>
      </c>
      <c r="D57" s="1"/>
      <c r="E57" s="1" t="s">
        <v>198</v>
      </c>
    </row>
    <row r="58" s="1" customFormat="1" spans="1:5">
      <c r="A58" s="1" t="s">
        <v>44</v>
      </c>
      <c r="B58" s="1" t="s">
        <v>199</v>
      </c>
      <c r="C58" s="1" t="s">
        <v>200</v>
      </c>
      <c r="D58" s="1"/>
      <c r="E58" s="1" t="s">
        <v>201</v>
      </c>
    </row>
    <row r="59" s="1" customFormat="1" spans="1:5">
      <c r="A59" s="1" t="s">
        <v>45</v>
      </c>
      <c r="B59" s="1" t="s">
        <v>199</v>
      </c>
      <c r="C59" s="1" t="s">
        <v>200</v>
      </c>
      <c r="D59" s="1"/>
      <c r="E59" s="1" t="s">
        <v>201</v>
      </c>
    </row>
    <row r="60" s="1" customFormat="1" spans="1:5">
      <c r="A60" s="1" t="s">
        <v>46</v>
      </c>
      <c r="B60" s="1" t="s">
        <v>199</v>
      </c>
      <c r="C60" s="1" t="s">
        <v>200</v>
      </c>
      <c r="D60" s="1"/>
      <c r="E60" s="1" t="s">
        <v>201</v>
      </c>
    </row>
    <row r="61" s="1" customFormat="1" spans="1:5">
      <c r="A61" s="1" t="s">
        <v>47</v>
      </c>
      <c r="B61" s="1" t="s">
        <v>199</v>
      </c>
      <c r="C61" s="1" t="s">
        <v>200</v>
      </c>
      <c r="D61" s="1"/>
      <c r="E61" s="1" t="s">
        <v>201</v>
      </c>
    </row>
    <row r="62" s="1" customFormat="1" spans="1:5">
      <c r="A62" s="1" t="s">
        <v>48</v>
      </c>
      <c r="B62" s="1" t="s">
        <v>199</v>
      </c>
      <c r="C62" s="1" t="s">
        <v>200</v>
      </c>
      <c r="D62" s="1"/>
      <c r="E62" s="1" t="s">
        <v>201</v>
      </c>
    </row>
    <row r="63" s="1" customFormat="1" spans="1:5">
      <c r="A63" s="1" t="s">
        <v>49</v>
      </c>
      <c r="B63" s="1" t="s">
        <v>199</v>
      </c>
      <c r="C63" s="1" t="s">
        <v>200</v>
      </c>
      <c r="D63" s="1"/>
      <c r="E63" s="1" t="s">
        <v>201</v>
      </c>
    </row>
    <row r="64" s="1" customFormat="1" spans="1:5">
      <c r="A64" s="1" t="s">
        <v>50</v>
      </c>
      <c r="B64" s="1" t="s">
        <v>199</v>
      </c>
      <c r="C64" s="1" t="s">
        <v>200</v>
      </c>
      <c r="D64" s="1"/>
      <c r="E64" s="1" t="s">
        <v>201</v>
      </c>
    </row>
    <row r="65" s="1" customFormat="1" spans="1:5">
      <c r="A65" s="1" t="s">
        <v>51</v>
      </c>
      <c r="B65" s="1" t="s">
        <v>199</v>
      </c>
      <c r="C65" s="1" t="s">
        <v>200</v>
      </c>
      <c r="D65" s="1"/>
      <c r="E65" s="1" t="s">
        <v>201</v>
      </c>
    </row>
    <row r="66" s="1" customFormat="1" spans="1:5">
      <c r="A66" s="1" t="s">
        <v>52</v>
      </c>
      <c r="B66" s="1" t="s">
        <v>199</v>
      </c>
      <c r="C66" s="1" t="s">
        <v>200</v>
      </c>
      <c r="D66" s="1"/>
      <c r="E66" s="1" t="s">
        <v>201</v>
      </c>
    </row>
    <row r="67" s="1" customFormat="1" spans="1:5">
      <c r="A67" s="1" t="s">
        <v>53</v>
      </c>
      <c r="B67" s="1" t="s">
        <v>199</v>
      </c>
      <c r="C67" s="1" t="s">
        <v>200</v>
      </c>
      <c r="D67" s="1"/>
      <c r="E67" s="1" t="s">
        <v>201</v>
      </c>
    </row>
    <row r="68" s="1" customFormat="1" spans="1:5">
      <c r="A68" s="1" t="s">
        <v>54</v>
      </c>
      <c r="B68" s="1" t="s">
        <v>199</v>
      </c>
      <c r="C68" s="1" t="s">
        <v>200</v>
      </c>
      <c r="D68" s="1"/>
      <c r="E68" s="1" t="s">
        <v>201</v>
      </c>
    </row>
    <row r="69" s="1" customFormat="1" spans="1:5">
      <c r="A69" s="1" t="s">
        <v>55</v>
      </c>
      <c r="B69" s="1" t="s">
        <v>199</v>
      </c>
      <c r="C69" s="1" t="s">
        <v>200</v>
      </c>
      <c r="D69" s="1"/>
      <c r="E69" s="1" t="s">
        <v>201</v>
      </c>
    </row>
    <row r="70" s="1" customFormat="1" spans="1:5">
      <c r="A70" s="1" t="s">
        <v>56</v>
      </c>
      <c r="B70" s="1" t="s">
        <v>199</v>
      </c>
      <c r="C70" s="1" t="s">
        <v>200</v>
      </c>
      <c r="D70" s="1"/>
      <c r="E70" s="1" t="s">
        <v>201</v>
      </c>
    </row>
    <row r="71" s="1" customFormat="1" spans="1:5">
      <c r="A71" s="1" t="s">
        <v>57</v>
      </c>
      <c r="B71" s="1" t="s">
        <v>199</v>
      </c>
      <c r="C71" s="1" t="s">
        <v>200</v>
      </c>
      <c r="D71" s="1"/>
      <c r="E71" s="1" t="s">
        <v>201</v>
      </c>
    </row>
    <row r="72" s="1" customFormat="1" spans="1:5">
      <c r="A72" s="1" t="s">
        <v>58</v>
      </c>
      <c r="B72" s="1" t="s">
        <v>199</v>
      </c>
      <c r="C72" s="1" t="s">
        <v>200</v>
      </c>
      <c r="D72" s="1"/>
      <c r="E72" s="1" t="s">
        <v>201</v>
      </c>
    </row>
    <row r="73" s="1" customFormat="1" spans="1:5">
      <c r="A73" s="1" t="s">
        <v>59</v>
      </c>
      <c r="B73" s="1" t="s">
        <v>199</v>
      </c>
      <c r="C73" s="1" t="s">
        <v>200</v>
      </c>
      <c r="D73" s="1"/>
      <c r="E73" s="1" t="s">
        <v>201</v>
      </c>
    </row>
    <row r="74" s="1" customFormat="1" spans="1:5">
      <c r="A74" s="1" t="s">
        <v>60</v>
      </c>
      <c r="B74" s="1" t="s">
        <v>199</v>
      </c>
      <c r="C74" s="1" t="s">
        <v>200</v>
      </c>
      <c r="D74" s="1"/>
      <c r="E74" s="1" t="s">
        <v>201</v>
      </c>
    </row>
    <row r="75" s="1" customFormat="1" spans="1:5">
      <c r="A75" s="1" t="s">
        <v>61</v>
      </c>
      <c r="B75" s="1" t="s">
        <v>199</v>
      </c>
      <c r="C75" s="1" t="s">
        <v>200</v>
      </c>
      <c r="D75" s="1"/>
      <c r="E75" s="1" t="s">
        <v>201</v>
      </c>
    </row>
    <row r="76" s="1" customFormat="1" spans="1:5">
      <c r="A76" s="1" t="s">
        <v>62</v>
      </c>
      <c r="B76" s="1" t="s">
        <v>199</v>
      </c>
      <c r="C76" s="1" t="s">
        <v>200</v>
      </c>
      <c r="D76" s="1"/>
      <c r="E76" s="1" t="s">
        <v>201</v>
      </c>
    </row>
    <row r="77" s="1" customFormat="1" spans="1:5">
      <c r="A77" s="1" t="s">
        <v>63</v>
      </c>
      <c r="B77" s="1" t="s">
        <v>199</v>
      </c>
      <c r="C77" s="1" t="s">
        <v>200</v>
      </c>
      <c r="D77" s="1"/>
      <c r="E77" s="1" t="s">
        <v>201</v>
      </c>
    </row>
    <row r="78" s="1" customFormat="1" spans="1:5">
      <c r="A78" s="1" t="s">
        <v>64</v>
      </c>
      <c r="B78" s="1" t="s">
        <v>183</v>
      </c>
      <c r="C78" s="1" t="s">
        <v>181</v>
      </c>
      <c r="D78" s="1"/>
      <c r="E78" s="1" t="s">
        <v>184</v>
      </c>
    </row>
    <row r="79" s="1" customFormat="1" spans="1:5">
      <c r="A79" s="1" t="s">
        <v>65</v>
      </c>
      <c r="B79" s="1" t="s">
        <v>183</v>
      </c>
      <c r="C79" s="1" t="s">
        <v>181</v>
      </c>
      <c r="D79" s="1"/>
      <c r="E79" s="1" t="s">
        <v>184</v>
      </c>
    </row>
    <row r="80" s="1" customFormat="1" spans="1:5">
      <c r="A80" s="1" t="s">
        <v>66</v>
      </c>
      <c r="B80" s="1" t="s">
        <v>183</v>
      </c>
      <c r="C80" s="1" t="s">
        <v>181</v>
      </c>
      <c r="D80" s="1"/>
      <c r="E80" s="1" t="s">
        <v>184</v>
      </c>
    </row>
    <row r="81" s="1" customFormat="1" spans="1:5">
      <c r="A81" s="1" t="s">
        <v>67</v>
      </c>
      <c r="B81" s="1" t="s">
        <v>183</v>
      </c>
      <c r="C81" s="1" t="s">
        <v>181</v>
      </c>
      <c r="D81" s="1"/>
      <c r="E81" s="1" t="s">
        <v>184</v>
      </c>
    </row>
    <row r="82" s="1" customFormat="1" spans="1:5">
      <c r="A82" s="1" t="s">
        <v>68</v>
      </c>
      <c r="B82" s="1" t="s">
        <v>183</v>
      </c>
      <c r="C82" s="1" t="s">
        <v>181</v>
      </c>
      <c r="D82" s="1"/>
      <c r="E82" s="1" t="s">
        <v>184</v>
      </c>
    </row>
    <row r="83" s="1" customFormat="1" spans="1:5">
      <c r="A83" s="1" t="s">
        <v>69</v>
      </c>
      <c r="B83" s="1" t="s">
        <v>183</v>
      </c>
      <c r="C83" s="1" t="s">
        <v>181</v>
      </c>
      <c r="D83" s="1"/>
      <c r="E83" s="1" t="s">
        <v>184</v>
      </c>
    </row>
    <row r="84" s="1" customFormat="1" spans="1:5">
      <c r="A84" s="1" t="s">
        <v>70</v>
      </c>
      <c r="B84" s="1" t="s">
        <v>197</v>
      </c>
      <c r="C84" s="1" t="s">
        <v>189</v>
      </c>
      <c r="D84" s="1"/>
      <c r="E84" s="1" t="s">
        <v>198</v>
      </c>
    </row>
    <row r="85" s="1" customFormat="1" spans="1:5">
      <c r="A85" s="1" t="s">
        <v>71</v>
      </c>
      <c r="B85" s="1" t="s">
        <v>185</v>
      </c>
      <c r="C85" s="1" t="s">
        <v>186</v>
      </c>
      <c r="D85" s="1"/>
      <c r="E85" s="1" t="s">
        <v>187</v>
      </c>
    </row>
    <row r="86" spans="1:5">
      <c r="A86" s="1" t="s">
        <v>72</v>
      </c>
      <c r="B86" s="1" t="s">
        <v>197</v>
      </c>
      <c r="C86" s="1" t="s">
        <v>189</v>
      </c>
      <c r="D86" s="1"/>
      <c r="E86" s="1" t="s">
        <v>198</v>
      </c>
    </row>
    <row r="87" spans="1:5">
      <c r="A87" s="1" t="s">
        <v>73</v>
      </c>
      <c r="B87" s="1" t="s">
        <v>188</v>
      </c>
      <c r="C87" s="1" t="s">
        <v>189</v>
      </c>
      <c r="D87" s="1"/>
      <c r="E87" s="1" t="s">
        <v>190</v>
      </c>
    </row>
    <row r="88" spans="1:5">
      <c r="A88" s="1"/>
      <c r="B88" s="1"/>
      <c r="C88" s="1"/>
      <c r="D88" s="1"/>
      <c r="E88" s="1"/>
    </row>
    <row r="89" spans="1:5">
      <c r="A89" s="1" t="s">
        <v>202</v>
      </c>
    </row>
    <row r="91" spans="1:5">
      <c r="A91" s="1" t="s">
        <v>179</v>
      </c>
      <c r="B91" s="1" t="s">
        <v>203</v>
      </c>
      <c r="C91" s="1"/>
      <c r="D91" s="1"/>
      <c r="E91" s="1"/>
    </row>
    <row r="92" spans="1:5">
      <c r="A92" s="1" t="s">
        <v>189</v>
      </c>
      <c r="B92" s="1">
        <v>31</v>
      </c>
      <c r="C92" s="1"/>
      <c r="D92" s="1"/>
      <c r="E92" s="1"/>
    </row>
    <row r="93" spans="1:5">
      <c r="A93" s="1" t="s">
        <v>200</v>
      </c>
      <c r="B93" s="1">
        <v>20</v>
      </c>
      <c r="C93" s="1"/>
      <c r="D93" s="1"/>
      <c r="E93" s="1"/>
    </row>
    <row r="94" spans="1:5">
      <c r="A94" s="1" t="s">
        <v>181</v>
      </c>
      <c r="B94" s="1">
        <v>16</v>
      </c>
      <c r="C94" s="1"/>
      <c r="D94" s="1"/>
      <c r="E94" s="1"/>
    </row>
    <row r="95" spans="1:5">
      <c r="A95" s="1" t="s">
        <v>186</v>
      </c>
      <c r="B95" s="1">
        <v>8</v>
      </c>
      <c r="C95" s="1"/>
      <c r="D95" s="1"/>
      <c r="E95" s="1"/>
    </row>
    <row r="96" spans="1:5">
      <c r="A96" s="1" t="s">
        <v>204</v>
      </c>
      <c r="B96" s="1">
        <v>75</v>
      </c>
      <c r="C96" s="1"/>
      <c r="D96" s="1"/>
      <c r="E96" s="1"/>
    </row>
    <row r="97" spans="1:5">
      <c r="A97" s="1"/>
      <c r="B97" s="1"/>
      <c r="C97" s="1"/>
      <c r="D97" s="1"/>
      <c r="E97" s="1"/>
    </row>
    <row r="98" spans="1:5">
      <c r="A98" s="1"/>
      <c r="B98" s="1"/>
      <c r="C98" s="1"/>
      <c r="D98" s="1"/>
      <c r="E98" s="1"/>
    </row>
    <row r="99" spans="1:5">
      <c r="A99" s="1"/>
      <c r="B99" s="1"/>
      <c r="C99" s="1"/>
      <c r="D99" s="1"/>
      <c r="E99" s="1"/>
    </row>
    <row r="100" spans="1:5">
      <c r="A100" s="1"/>
      <c r="B100" s="1"/>
      <c r="C100" s="1"/>
      <c r="D100" s="1"/>
      <c r="E100" s="1"/>
    </row>
    <row r="101" spans="1:5">
      <c r="A101" s="1"/>
      <c r="B101" s="1"/>
      <c r="C101" s="1"/>
      <c r="D101" s="1"/>
      <c r="E101" s="1"/>
    </row>
    <row r="102" spans="1:5">
      <c r="A102" s="1"/>
      <c r="B102" s="1"/>
      <c r="C102" s="1"/>
      <c r="D102" s="1"/>
      <c r="E102" s="1"/>
    </row>
    <row r="103" spans="1:5">
      <c r="A103" s="1"/>
      <c r="B103" s="1"/>
      <c r="C103" s="1"/>
      <c r="D103" s="1"/>
    </row>
    <row r="104" spans="1:5">
      <c r="A104" s="1"/>
      <c r="B104" s="1"/>
      <c r="C104" s="1"/>
      <c r="D104" s="1"/>
    </row>
    <row r="105" spans="1:5">
      <c r="A105" s="1"/>
      <c r="B105" s="1"/>
      <c r="C105" s="1"/>
      <c r="D105" s="1"/>
    </row>
    <row r="106" spans="1:5">
      <c r="A106" s="1" t="s">
        <v>205</v>
      </c>
      <c r="B106" s="1"/>
      <c r="C106" s="1"/>
      <c r="D106" s="1"/>
    </row>
    <row r="107" spans="1:5">
      <c r="A107" s="1"/>
      <c r="B107" s="1"/>
      <c r="C107" s="1"/>
      <c r="D107" s="1"/>
    </row>
    <row r="108" spans="1:5">
      <c r="A108" s="1" t="s">
        <v>206</v>
      </c>
      <c r="B108" s="1"/>
      <c r="C108" s="1"/>
      <c r="D108" s="1"/>
    </row>
    <row r="109" spans="1:5">
      <c r="A109" s="1"/>
      <c r="B109" s="1"/>
      <c r="C109" s="1"/>
      <c r="D109" s="1"/>
    </row>
    <row r="110" spans="1:5">
      <c r="A110" s="1"/>
      <c r="B110" s="1"/>
      <c r="C110" s="1"/>
      <c r="D110" s="1"/>
    </row>
    <row r="111" spans="1:5">
      <c r="A111" s="7" t="s">
        <v>177</v>
      </c>
      <c r="B111" s="7" t="s">
        <v>178</v>
      </c>
      <c r="C111" s="7" t="s">
        <v>179</v>
      </c>
      <c r="D111" s="1"/>
    </row>
    <row r="112" spans="1:5">
      <c r="A112" s="7" t="s">
        <v>0</v>
      </c>
      <c r="B112" s="7" t="s">
        <v>180</v>
      </c>
      <c r="C112" s="7" t="s">
        <v>181</v>
      </c>
      <c r="D112" s="1"/>
    </row>
    <row r="113" ht="28.5" spans="1:3">
      <c r="A113" s="7" t="s">
        <v>1</v>
      </c>
      <c r="B113" s="6" t="s">
        <v>180</v>
      </c>
      <c r="C113" s="6" t="s">
        <v>181</v>
      </c>
    </row>
    <row r="114" ht="28.5" spans="1:3">
      <c r="A114" s="7" t="s">
        <v>2</v>
      </c>
      <c r="B114" s="6" t="s">
        <v>183</v>
      </c>
      <c r="C114" s="6" t="s">
        <v>181</v>
      </c>
    </row>
    <row r="115" ht="28.5" spans="1:3">
      <c r="A115" s="7" t="s">
        <v>3</v>
      </c>
      <c r="B115" s="6" t="s">
        <v>183</v>
      </c>
      <c r="C115" s="6" t="s">
        <v>181</v>
      </c>
    </row>
    <row r="116" ht="28.5" spans="1:3">
      <c r="A116" s="7" t="s">
        <v>6</v>
      </c>
      <c r="B116" s="6" t="s">
        <v>183</v>
      </c>
      <c r="C116" s="6" t="s">
        <v>181</v>
      </c>
    </row>
    <row r="117" ht="28.5" spans="1:3">
      <c r="A117" s="7" t="s">
        <v>8</v>
      </c>
      <c r="B117" s="6" t="s">
        <v>180</v>
      </c>
      <c r="C117" s="6" t="s">
        <v>181</v>
      </c>
    </row>
    <row r="118" ht="28.5" spans="1:3">
      <c r="A118" s="7" t="s">
        <v>9</v>
      </c>
      <c r="B118" s="6" t="s">
        <v>180</v>
      </c>
      <c r="C118" s="6" t="s">
        <v>181</v>
      </c>
    </row>
    <row r="119" ht="28.5" spans="1:3">
      <c r="A119" s="7" t="s">
        <v>10</v>
      </c>
      <c r="B119" s="6" t="s">
        <v>180</v>
      </c>
      <c r="C119" s="6" t="s">
        <v>181</v>
      </c>
    </row>
    <row r="120" ht="28.5" spans="1:3">
      <c r="A120" s="7" t="s">
        <v>11</v>
      </c>
      <c r="B120" s="6" t="s">
        <v>180</v>
      </c>
      <c r="C120" s="6" t="s">
        <v>181</v>
      </c>
    </row>
    <row r="121" ht="28.5" spans="1:3">
      <c r="A121" s="7" t="s">
        <v>31</v>
      </c>
      <c r="B121" s="6" t="s">
        <v>180</v>
      </c>
      <c r="C121" s="6" t="s">
        <v>181</v>
      </c>
    </row>
    <row r="122" ht="28.5" spans="1:3">
      <c r="A122" s="7" t="s">
        <v>64</v>
      </c>
      <c r="B122" s="6" t="s">
        <v>183</v>
      </c>
      <c r="C122" s="6" t="s">
        <v>181</v>
      </c>
    </row>
    <row r="123" ht="28.5" spans="1:3">
      <c r="A123" s="7" t="s">
        <v>65</v>
      </c>
      <c r="B123" s="6" t="s">
        <v>183</v>
      </c>
      <c r="C123" s="6" t="s">
        <v>181</v>
      </c>
    </row>
    <row r="124" ht="28.5" spans="1:3">
      <c r="A124" s="7" t="s">
        <v>66</v>
      </c>
      <c r="B124" s="6" t="s">
        <v>183</v>
      </c>
      <c r="C124" s="6" t="s">
        <v>181</v>
      </c>
    </row>
    <row r="125" ht="28.5" spans="1:3">
      <c r="A125" s="7" t="s">
        <v>67</v>
      </c>
      <c r="B125" s="6" t="s">
        <v>183</v>
      </c>
      <c r="C125" s="6" t="s">
        <v>181</v>
      </c>
    </row>
    <row r="126" ht="28.5" spans="1:3">
      <c r="A126" s="7" t="s">
        <v>68</v>
      </c>
      <c r="B126" s="6" t="s">
        <v>183</v>
      </c>
      <c r="C126" s="6" t="s">
        <v>181</v>
      </c>
    </row>
    <row r="127" ht="28.5" spans="1:3">
      <c r="A127" s="7" t="s">
        <v>69</v>
      </c>
      <c r="B127" s="6" t="s">
        <v>183</v>
      </c>
      <c r="C127" s="6" t="s">
        <v>181</v>
      </c>
    </row>
    <row r="128" ht="28.5" spans="1:3">
      <c r="A128" s="7" t="s">
        <v>7</v>
      </c>
      <c r="B128" s="6" t="s">
        <v>188</v>
      </c>
      <c r="C128" s="6" t="s">
        <v>189</v>
      </c>
    </row>
    <row r="129" ht="28.5" spans="1:3">
      <c r="A129" s="7" t="s">
        <v>12</v>
      </c>
      <c r="B129" s="6" t="s">
        <v>191</v>
      </c>
      <c r="C129" s="6" t="s">
        <v>189</v>
      </c>
    </row>
    <row r="130" ht="28.5" spans="1:3">
      <c r="A130" s="7" t="s">
        <v>13</v>
      </c>
      <c r="B130" s="6" t="s">
        <v>191</v>
      </c>
      <c r="C130" s="6" t="s">
        <v>189</v>
      </c>
    </row>
    <row r="131" ht="28.5" spans="1:3">
      <c r="A131" s="7" t="s">
        <v>14</v>
      </c>
      <c r="B131" s="6" t="s">
        <v>191</v>
      </c>
      <c r="C131" s="6" t="s">
        <v>189</v>
      </c>
    </row>
    <row r="132" ht="28.5" spans="1:3">
      <c r="A132" s="7" t="s">
        <v>15</v>
      </c>
      <c r="B132" s="6" t="s">
        <v>191</v>
      </c>
      <c r="C132" s="6" t="s">
        <v>189</v>
      </c>
    </row>
    <row r="133" ht="28.5" spans="1:3">
      <c r="A133" s="7" t="s">
        <v>16</v>
      </c>
      <c r="B133" s="6" t="s">
        <v>191</v>
      </c>
      <c r="C133" s="6" t="s">
        <v>189</v>
      </c>
    </row>
    <row r="134" ht="28.5" spans="1:3">
      <c r="A134" s="7" t="s">
        <v>17</v>
      </c>
      <c r="B134" s="6" t="s">
        <v>191</v>
      </c>
      <c r="C134" s="6" t="s">
        <v>189</v>
      </c>
    </row>
    <row r="135" ht="28.5" spans="1:3">
      <c r="A135" s="7" t="s">
        <v>18</v>
      </c>
      <c r="B135" s="6" t="s">
        <v>191</v>
      </c>
      <c r="C135" s="6" t="s">
        <v>189</v>
      </c>
    </row>
    <row r="136" ht="28.5" spans="1:3">
      <c r="A136" s="7" t="s">
        <v>19</v>
      </c>
      <c r="B136" s="6" t="s">
        <v>191</v>
      </c>
      <c r="C136" s="6" t="s">
        <v>189</v>
      </c>
    </row>
    <row r="137" ht="28.5" spans="1:3">
      <c r="A137" s="7" t="s">
        <v>20</v>
      </c>
      <c r="B137" s="6" t="s">
        <v>191</v>
      </c>
      <c r="C137" s="6" t="s">
        <v>189</v>
      </c>
    </row>
    <row r="138" ht="28.5" spans="1:3">
      <c r="A138" s="7" t="s">
        <v>21</v>
      </c>
      <c r="B138" s="6" t="s">
        <v>191</v>
      </c>
      <c r="C138" s="6" t="s">
        <v>189</v>
      </c>
    </row>
    <row r="139" ht="28.5" spans="1:3">
      <c r="A139" s="7" t="s">
        <v>22</v>
      </c>
      <c r="B139" s="6" t="s">
        <v>191</v>
      </c>
      <c r="C139" s="6" t="s">
        <v>189</v>
      </c>
    </row>
    <row r="140" spans="1:3">
      <c r="A140" s="7" t="s">
        <v>23</v>
      </c>
      <c r="B140" s="6" t="s">
        <v>193</v>
      </c>
      <c r="C140" s="6" t="s">
        <v>189</v>
      </c>
    </row>
    <row r="141" spans="1:3">
      <c r="A141" s="7" t="s">
        <v>24</v>
      </c>
      <c r="B141" s="6" t="s">
        <v>193</v>
      </c>
      <c r="C141" s="6" t="s">
        <v>189</v>
      </c>
    </row>
    <row r="142" spans="1:3">
      <c r="A142" s="7" t="s">
        <v>25</v>
      </c>
      <c r="B142" s="6" t="s">
        <v>193</v>
      </c>
      <c r="C142" s="6" t="s">
        <v>189</v>
      </c>
    </row>
    <row r="143" spans="1:3">
      <c r="A143" s="7" t="s">
        <v>26</v>
      </c>
      <c r="B143" s="6" t="s">
        <v>193</v>
      </c>
      <c r="C143" s="6" t="s">
        <v>189</v>
      </c>
    </row>
    <row r="144" spans="1:3">
      <c r="A144" s="7" t="s">
        <v>27</v>
      </c>
      <c r="B144" s="6" t="s">
        <v>193</v>
      </c>
      <c r="C144" s="6" t="s">
        <v>189</v>
      </c>
    </row>
    <row r="145" spans="1:13">
      <c r="A145" s="7" t="s">
        <v>28</v>
      </c>
      <c r="B145" s="6" t="s">
        <v>193</v>
      </c>
      <c r="C145" s="6" t="s">
        <v>189</v>
      </c>
    </row>
    <row r="146" spans="1:13">
      <c r="A146" s="7" t="s">
        <v>29</v>
      </c>
      <c r="B146" s="6" t="s">
        <v>193</v>
      </c>
      <c r="C146" s="6" t="s">
        <v>189</v>
      </c>
    </row>
    <row r="147" spans="1:13">
      <c r="A147" s="7" t="s">
        <v>30</v>
      </c>
      <c r="B147" s="6" t="s">
        <v>193</v>
      </c>
      <c r="C147" s="6" t="s">
        <v>189</v>
      </c>
    </row>
    <row r="148" ht="28.5" spans="1:13">
      <c r="A148" s="7" t="s">
        <v>32</v>
      </c>
      <c r="B148" s="6" t="s">
        <v>188</v>
      </c>
      <c r="C148" s="6" t="s">
        <v>189</v>
      </c>
    </row>
    <row r="149" ht="28.5" spans="1:13">
      <c r="A149" s="7" t="s">
        <v>33</v>
      </c>
      <c r="B149" s="6" t="s">
        <v>188</v>
      </c>
      <c r="C149" s="6" t="s">
        <v>189</v>
      </c>
    </row>
    <row r="150" ht="28.5" spans="1:13">
      <c r="A150" s="7" t="s">
        <v>39</v>
      </c>
      <c r="B150" s="6" t="s">
        <v>188</v>
      </c>
      <c r="C150" s="6" t="s">
        <v>189</v>
      </c>
    </row>
    <row r="151" ht="28.5" spans="1:13">
      <c r="A151" s="7" t="s">
        <v>40</v>
      </c>
      <c r="B151" s="6" t="s">
        <v>197</v>
      </c>
      <c r="C151" s="6" t="s">
        <v>189</v>
      </c>
    </row>
    <row r="152" ht="28.5" spans="1:13">
      <c r="A152" s="7" t="s">
        <v>40</v>
      </c>
      <c r="B152" s="6" t="s">
        <v>197</v>
      </c>
      <c r="C152" s="6" t="s">
        <v>189</v>
      </c>
    </row>
    <row r="153" ht="28.5" spans="1:13">
      <c r="A153" s="7" t="s">
        <v>41</v>
      </c>
      <c r="B153" s="6" t="s">
        <v>197</v>
      </c>
      <c r="C153" s="6" t="s">
        <v>189</v>
      </c>
    </row>
    <row r="154" ht="28.5" spans="1:13">
      <c r="A154" s="7" t="s">
        <v>42</v>
      </c>
      <c r="B154" s="6" t="s">
        <v>197</v>
      </c>
      <c r="C154" s="6" t="s">
        <v>189</v>
      </c>
    </row>
    <row r="155" ht="28.5" spans="1:13">
      <c r="A155" s="7" t="s">
        <v>43</v>
      </c>
      <c r="B155" s="6" t="s">
        <v>197</v>
      </c>
      <c r="C155" s="6" t="s">
        <v>189</v>
      </c>
    </row>
    <row r="156" ht="28.5" spans="1:13">
      <c r="A156" s="7" t="s">
        <v>70</v>
      </c>
      <c r="B156" s="6" t="s">
        <v>197</v>
      </c>
      <c r="C156" s="6" t="s">
        <v>189</v>
      </c>
    </row>
    <row r="157" ht="28.5" spans="1:13">
      <c r="A157" s="7" t="s">
        <v>72</v>
      </c>
      <c r="B157" s="6" t="s">
        <v>197</v>
      </c>
      <c r="C157" s="6" t="s">
        <v>189</v>
      </c>
    </row>
    <row r="158" ht="28.5" spans="1:13">
      <c r="A158" s="7" t="s">
        <v>73</v>
      </c>
      <c r="B158" s="6" t="s">
        <v>188</v>
      </c>
      <c r="C158" s="6" t="s">
        <v>189</v>
      </c>
    </row>
    <row r="159" spans="1:13">
      <c r="A159" s="1"/>
      <c r="E159" s="1"/>
    </row>
    <row r="160" ht="15" spans="1:13">
      <c r="A160" s="1"/>
      <c r="B160" s="1"/>
      <c r="C160" s="1"/>
      <c r="D160" s="1"/>
      <c r="E160" s="1"/>
      <c r="J160" s="12"/>
      <c r="L160" s="13"/>
      <c r="M160" s="13"/>
    </row>
    <row r="161" spans="1:7">
      <c r="A161" s="1" t="s">
        <v>207</v>
      </c>
    </row>
    <row r="162" spans="1:7">
      <c r="A162" s="1"/>
    </row>
    <row r="163" spans="1:7">
      <c r="A163" s="7" t="s">
        <v>177</v>
      </c>
      <c r="B163" s="7" t="s">
        <v>179</v>
      </c>
      <c r="C163" s="6" t="s">
        <v>208</v>
      </c>
      <c r="D163" s="7" t="s">
        <v>178</v>
      </c>
      <c r="E163" s="6" t="s">
        <v>209</v>
      </c>
      <c r="F163" s="7" t="s">
        <v>210</v>
      </c>
      <c r="G163" s="7" t="s">
        <v>211</v>
      </c>
    </row>
    <row r="164" spans="1:7">
      <c r="A164" s="7" t="s">
        <v>0</v>
      </c>
      <c r="B164" s="7" t="s">
        <v>181</v>
      </c>
      <c r="C164" s="6" t="s">
        <v>88</v>
      </c>
      <c r="D164" s="7" t="s">
        <v>180</v>
      </c>
      <c r="E164" s="1">
        <f>COUNTBLANK('maestro '!A2:A35)</f>
        <v>0</v>
      </c>
      <c r="F164" s="7">
        <f>34-E164</f>
        <v>34</v>
      </c>
      <c r="G164" s="14">
        <f>F164/F164</f>
        <v>1</v>
      </c>
    </row>
    <row r="165" ht="28.5" spans="1:7">
      <c r="A165" s="7" t="s">
        <v>1</v>
      </c>
      <c r="B165" s="6" t="s">
        <v>181</v>
      </c>
      <c r="C165" s="6" t="s">
        <v>212</v>
      </c>
      <c r="D165" s="6" t="s">
        <v>180</v>
      </c>
      <c r="E165" s="1">
        <f>COUNTBLANK('maestro '!B2:B35)</f>
        <v>34</v>
      </c>
      <c r="F165" s="7">
        <f t="shared" ref="F165:F210" si="0">34-E165</f>
        <v>0</v>
      </c>
      <c r="G165" s="15">
        <v>0</v>
      </c>
    </row>
    <row r="166" ht="28.5" spans="1:7">
      <c r="A166" s="7" t="s">
        <v>2</v>
      </c>
      <c r="B166" s="6" t="s">
        <v>181</v>
      </c>
      <c r="C166" s="6" t="s">
        <v>213</v>
      </c>
      <c r="D166" s="6" t="s">
        <v>183</v>
      </c>
      <c r="E166" s="1">
        <f>COUNTBLANK('maestro '!C2:C34)</f>
        <v>0</v>
      </c>
      <c r="F166" s="7">
        <f t="shared" si="0"/>
        <v>34</v>
      </c>
      <c r="G166" s="14">
        <f t="shared" ref="G165:G210" si="1">F166/F166</f>
        <v>1</v>
      </c>
    </row>
    <row r="167" ht="28.5" spans="1:7">
      <c r="A167" s="7" t="s">
        <v>3</v>
      </c>
      <c r="B167" s="6" t="s">
        <v>181</v>
      </c>
      <c r="C167" s="6" t="s">
        <v>214</v>
      </c>
      <c r="D167" s="6" t="s">
        <v>183</v>
      </c>
      <c r="E167" s="1">
        <f>COUNTBLANK('maestro '!D2:D35)</f>
        <v>0</v>
      </c>
      <c r="F167" s="7">
        <f t="shared" si="0"/>
        <v>34</v>
      </c>
      <c r="G167" s="14">
        <f t="shared" si="1"/>
        <v>1</v>
      </c>
    </row>
    <row r="168" ht="28.5" spans="1:7">
      <c r="A168" s="7" t="s">
        <v>6</v>
      </c>
      <c r="B168" s="6" t="s">
        <v>181</v>
      </c>
      <c r="C168" s="6" t="s">
        <v>215</v>
      </c>
      <c r="D168" s="6" t="s">
        <v>183</v>
      </c>
      <c r="E168" s="1">
        <f>COUNTBLANK('maestro '!G2:G35)</f>
        <v>0</v>
      </c>
      <c r="F168" s="7">
        <f t="shared" si="0"/>
        <v>34</v>
      </c>
      <c r="G168" s="14">
        <f t="shared" si="1"/>
        <v>1</v>
      </c>
    </row>
    <row r="169" ht="28.5" spans="1:7">
      <c r="A169" s="7" t="s">
        <v>8</v>
      </c>
      <c r="B169" s="6" t="s">
        <v>181</v>
      </c>
      <c r="C169" s="6" t="s">
        <v>216</v>
      </c>
      <c r="D169" s="6" t="s">
        <v>180</v>
      </c>
      <c r="E169" s="1">
        <f>COUNTBLANK('maestro '!I2:I35)</f>
        <v>0</v>
      </c>
      <c r="F169" s="7">
        <f t="shared" si="0"/>
        <v>34</v>
      </c>
      <c r="G169" s="14">
        <f t="shared" si="1"/>
        <v>1</v>
      </c>
    </row>
    <row r="170" ht="28.5" spans="1:7">
      <c r="A170" s="7" t="s">
        <v>9</v>
      </c>
      <c r="B170" s="6" t="s">
        <v>181</v>
      </c>
      <c r="C170" s="6" t="s">
        <v>217</v>
      </c>
      <c r="D170" s="6" t="s">
        <v>180</v>
      </c>
      <c r="E170" s="1">
        <f>COUNTBLANK('maestro '!J2:J35)</f>
        <v>0</v>
      </c>
      <c r="F170" s="7">
        <f t="shared" si="0"/>
        <v>34</v>
      </c>
      <c r="G170" s="14">
        <f t="shared" si="1"/>
        <v>1</v>
      </c>
    </row>
    <row r="171" ht="28.5" spans="1:7">
      <c r="A171" s="7" t="s">
        <v>10</v>
      </c>
      <c r="B171" s="6" t="s">
        <v>181</v>
      </c>
      <c r="C171" s="6" t="s">
        <v>218</v>
      </c>
      <c r="D171" s="6" t="s">
        <v>180</v>
      </c>
      <c r="E171" s="1">
        <f>COUNTBLANK('maestro '!K2:K35)</f>
        <v>0</v>
      </c>
      <c r="F171" s="7">
        <f t="shared" si="0"/>
        <v>34</v>
      </c>
      <c r="G171" s="14">
        <f t="shared" si="1"/>
        <v>1</v>
      </c>
    </row>
    <row r="172" ht="28.5" spans="1:7">
      <c r="A172" s="7" t="s">
        <v>11</v>
      </c>
      <c r="B172" s="6" t="s">
        <v>181</v>
      </c>
      <c r="C172" s="6" t="s">
        <v>219</v>
      </c>
      <c r="D172" s="6" t="s">
        <v>180</v>
      </c>
      <c r="E172" s="1">
        <f>COUNTBLANK('maestro '!L2:L35)</f>
        <v>0</v>
      </c>
      <c r="F172" s="7">
        <f t="shared" si="0"/>
        <v>34</v>
      </c>
      <c r="G172" s="14">
        <f t="shared" si="1"/>
        <v>1</v>
      </c>
    </row>
    <row r="173" ht="28.5" spans="1:7">
      <c r="A173" s="7" t="s">
        <v>31</v>
      </c>
      <c r="B173" s="6" t="s">
        <v>181</v>
      </c>
      <c r="C173" s="6" t="s">
        <v>220</v>
      </c>
      <c r="D173" s="6" t="s">
        <v>180</v>
      </c>
      <c r="E173" s="1">
        <f>COUNTBLANK('maestro '!AF2:AF35)</f>
        <v>34</v>
      </c>
      <c r="F173" s="7">
        <f t="shared" si="0"/>
        <v>0</v>
      </c>
      <c r="G173" s="15">
        <v>0</v>
      </c>
    </row>
    <row r="174" ht="28.5" spans="1:7">
      <c r="A174" s="7" t="s">
        <v>64</v>
      </c>
      <c r="B174" s="6" t="s">
        <v>181</v>
      </c>
      <c r="C174" s="6" t="s">
        <v>221</v>
      </c>
      <c r="D174" s="6" t="s">
        <v>183</v>
      </c>
      <c r="E174" s="1">
        <f>COUNTBLANK('maestro '!BN2:BN35)</f>
        <v>34</v>
      </c>
      <c r="F174" s="7">
        <f t="shared" si="0"/>
        <v>0</v>
      </c>
      <c r="G174" s="15">
        <v>0</v>
      </c>
    </row>
    <row r="175" ht="28.5" spans="1:7">
      <c r="A175" s="7" t="s">
        <v>65</v>
      </c>
      <c r="B175" s="6" t="s">
        <v>181</v>
      </c>
      <c r="C175" s="6" t="s">
        <v>222</v>
      </c>
      <c r="D175" s="6" t="s">
        <v>183</v>
      </c>
      <c r="E175" s="1">
        <f>COUNTBLANK('maestro '!BO2:BO35)</f>
        <v>34</v>
      </c>
      <c r="F175" s="7">
        <f t="shared" si="0"/>
        <v>0</v>
      </c>
      <c r="G175" s="15">
        <v>0</v>
      </c>
    </row>
    <row r="176" ht="28.5" spans="1:7">
      <c r="A176" s="7" t="s">
        <v>66</v>
      </c>
      <c r="B176" s="6" t="s">
        <v>181</v>
      </c>
      <c r="C176" s="6" t="s">
        <v>223</v>
      </c>
      <c r="D176" s="6" t="s">
        <v>183</v>
      </c>
      <c r="E176" s="1">
        <f>COUNTBLANK('maestro '!BP2:BP35)</f>
        <v>34</v>
      </c>
      <c r="F176" s="7">
        <f t="shared" si="0"/>
        <v>0</v>
      </c>
      <c r="G176" s="15">
        <v>0</v>
      </c>
    </row>
    <row r="177" ht="28.5" spans="1:7">
      <c r="A177" s="7" t="s">
        <v>67</v>
      </c>
      <c r="B177" s="6" t="s">
        <v>181</v>
      </c>
      <c r="C177" s="6" t="s">
        <v>224</v>
      </c>
      <c r="D177" s="6" t="s">
        <v>183</v>
      </c>
      <c r="E177" s="1">
        <f>COUNTBLANK('maestro '!BQ2:BQ35)</f>
        <v>34</v>
      </c>
      <c r="F177" s="7">
        <f t="shared" si="0"/>
        <v>0</v>
      </c>
      <c r="G177" s="15">
        <v>0</v>
      </c>
    </row>
    <row r="178" ht="28.5" spans="1:7">
      <c r="A178" s="7" t="s">
        <v>68</v>
      </c>
      <c r="B178" s="6" t="s">
        <v>181</v>
      </c>
      <c r="C178" s="6" t="s">
        <v>225</v>
      </c>
      <c r="D178" s="6" t="s">
        <v>183</v>
      </c>
      <c r="E178" s="1">
        <f>COUNTBLANK('maestro '!BR3:BR36)</f>
        <v>34</v>
      </c>
      <c r="F178" s="7">
        <f t="shared" si="0"/>
        <v>0</v>
      </c>
      <c r="G178" s="15">
        <v>0</v>
      </c>
    </row>
    <row r="179" ht="28.5" spans="1:7">
      <c r="A179" s="7" t="s">
        <v>69</v>
      </c>
      <c r="B179" s="6" t="s">
        <v>181</v>
      </c>
      <c r="C179" s="6" t="s">
        <v>226</v>
      </c>
      <c r="D179" s="6" t="s">
        <v>183</v>
      </c>
      <c r="E179" s="1">
        <f>COUNTBLANK('maestro '!BS4:BS37)</f>
        <v>34</v>
      </c>
      <c r="F179" s="7">
        <f t="shared" si="0"/>
        <v>0</v>
      </c>
      <c r="G179" s="15">
        <v>0</v>
      </c>
    </row>
    <row r="180" ht="28.5" spans="1:7">
      <c r="A180" s="7" t="s">
        <v>7</v>
      </c>
      <c r="B180" s="6" t="s">
        <v>189</v>
      </c>
      <c r="C180" s="6" t="s">
        <v>227</v>
      </c>
      <c r="D180" s="6" t="s">
        <v>188</v>
      </c>
      <c r="E180" s="1">
        <f>COUNTBLANK('maestro '!H2:H32)</f>
        <v>0</v>
      </c>
      <c r="F180" s="7">
        <f t="shared" si="0"/>
        <v>34</v>
      </c>
      <c r="G180" s="14">
        <f t="shared" si="1"/>
        <v>1</v>
      </c>
    </row>
    <row r="181" ht="28.5" spans="1:7">
      <c r="A181" s="7" t="s">
        <v>12</v>
      </c>
      <c r="B181" s="6" t="s">
        <v>189</v>
      </c>
      <c r="C181" s="6" t="s">
        <v>228</v>
      </c>
      <c r="D181" s="6" t="s">
        <v>191</v>
      </c>
      <c r="E181" s="1">
        <f>COUNTBLANK('maestro '!M2:M34)</f>
        <v>0</v>
      </c>
      <c r="F181" s="7">
        <f t="shared" si="0"/>
        <v>34</v>
      </c>
      <c r="G181" s="14">
        <f t="shared" si="1"/>
        <v>1</v>
      </c>
    </row>
    <row r="182" ht="28.5" spans="1:7">
      <c r="A182" s="7" t="s">
        <v>13</v>
      </c>
      <c r="B182" s="6" t="s">
        <v>189</v>
      </c>
      <c r="C182" s="6" t="s">
        <v>229</v>
      </c>
      <c r="D182" s="6" t="s">
        <v>191</v>
      </c>
      <c r="E182" s="1">
        <f>COUNTBLANK('maestro '!N2:N34)</f>
        <v>0</v>
      </c>
      <c r="F182" s="7">
        <f t="shared" si="0"/>
        <v>34</v>
      </c>
      <c r="G182" s="14">
        <f t="shared" si="1"/>
        <v>1</v>
      </c>
    </row>
    <row r="183" ht="28.5" spans="1:7">
      <c r="A183" s="7" t="s">
        <v>14</v>
      </c>
      <c r="B183" s="6" t="s">
        <v>189</v>
      </c>
      <c r="C183" s="6" t="s">
        <v>230</v>
      </c>
      <c r="D183" s="6" t="s">
        <v>191</v>
      </c>
      <c r="E183" s="1">
        <f>COUNTBLANK('maestro '!O2:O34)</f>
        <v>0</v>
      </c>
      <c r="F183" s="7">
        <f t="shared" si="0"/>
        <v>34</v>
      </c>
      <c r="G183" s="14">
        <f t="shared" si="1"/>
        <v>1</v>
      </c>
    </row>
    <row r="184" ht="28.5" spans="1:7">
      <c r="A184" s="7" t="s">
        <v>15</v>
      </c>
      <c r="B184" s="6" t="s">
        <v>189</v>
      </c>
      <c r="C184" s="6" t="s">
        <v>231</v>
      </c>
      <c r="D184" s="6" t="s">
        <v>191</v>
      </c>
      <c r="E184" s="1">
        <f>COUNTBLANK('maestro '!P2:P34)</f>
        <v>0</v>
      </c>
      <c r="F184" s="7">
        <f t="shared" si="0"/>
        <v>34</v>
      </c>
      <c r="G184" s="14">
        <f t="shared" si="1"/>
        <v>1</v>
      </c>
    </row>
    <row r="185" ht="28.5" spans="1:7">
      <c r="A185" s="7" t="s">
        <v>16</v>
      </c>
      <c r="B185" s="6" t="s">
        <v>189</v>
      </c>
      <c r="C185" s="6" t="s">
        <v>232</v>
      </c>
      <c r="D185" s="6" t="s">
        <v>191</v>
      </c>
      <c r="E185" s="1">
        <f>COUNTBLANK('maestro '!Q2:Q34)</f>
        <v>0</v>
      </c>
      <c r="F185" s="7">
        <f t="shared" si="0"/>
        <v>34</v>
      </c>
      <c r="G185" s="14">
        <f t="shared" si="1"/>
        <v>1</v>
      </c>
    </row>
    <row r="186" ht="28.5" spans="1:7">
      <c r="A186" s="7" t="s">
        <v>17</v>
      </c>
      <c r="B186" s="6" t="s">
        <v>189</v>
      </c>
      <c r="C186" s="6" t="s">
        <v>233</v>
      </c>
      <c r="D186" s="6" t="s">
        <v>191</v>
      </c>
      <c r="E186" s="1">
        <f>COUNTBLANK('maestro '!R2:R34)</f>
        <v>0</v>
      </c>
      <c r="F186" s="7">
        <f t="shared" si="0"/>
        <v>34</v>
      </c>
      <c r="G186" s="14">
        <f t="shared" si="1"/>
        <v>1</v>
      </c>
    </row>
    <row r="187" ht="28.5" spans="1:7">
      <c r="A187" s="7" t="s">
        <v>18</v>
      </c>
      <c r="B187" s="6" t="s">
        <v>189</v>
      </c>
      <c r="C187" s="6" t="s">
        <v>234</v>
      </c>
      <c r="D187" s="6" t="s">
        <v>191</v>
      </c>
      <c r="E187" s="1">
        <f>COUNTBLANK('maestro '!S2:S35)</f>
        <v>0</v>
      </c>
      <c r="F187" s="7">
        <f t="shared" si="0"/>
        <v>34</v>
      </c>
      <c r="G187" s="14">
        <f t="shared" si="1"/>
        <v>1</v>
      </c>
    </row>
    <row r="188" ht="28.5" spans="1:7">
      <c r="A188" s="7" t="s">
        <v>19</v>
      </c>
      <c r="B188" s="6" t="s">
        <v>189</v>
      </c>
      <c r="C188" s="6" t="s">
        <v>235</v>
      </c>
      <c r="D188" s="6" t="s">
        <v>191</v>
      </c>
      <c r="E188" s="1">
        <f>COUNTBLANK('maestro '!T2:T35)</f>
        <v>0</v>
      </c>
      <c r="F188" s="7">
        <f t="shared" si="0"/>
        <v>34</v>
      </c>
      <c r="G188" s="14">
        <f t="shared" si="1"/>
        <v>1</v>
      </c>
    </row>
    <row r="189" ht="28.5" spans="1:7">
      <c r="A189" s="7" t="s">
        <v>20</v>
      </c>
      <c r="B189" s="6" t="s">
        <v>189</v>
      </c>
      <c r="C189" s="6" t="s">
        <v>236</v>
      </c>
      <c r="D189" s="6" t="s">
        <v>191</v>
      </c>
      <c r="E189" s="1">
        <f>COUNTBLANK('maestro '!U2:U32)</f>
        <v>0</v>
      </c>
      <c r="F189" s="7">
        <f t="shared" si="0"/>
        <v>34</v>
      </c>
      <c r="G189" s="14">
        <f t="shared" si="1"/>
        <v>1</v>
      </c>
    </row>
    <row r="190" ht="28.5" spans="1:7">
      <c r="A190" s="7" t="s">
        <v>21</v>
      </c>
      <c r="B190" s="6" t="s">
        <v>189</v>
      </c>
      <c r="C190" s="6" t="s">
        <v>237</v>
      </c>
      <c r="D190" s="6" t="s">
        <v>191</v>
      </c>
      <c r="E190" s="1">
        <f>COUNTBLANK('maestro '!V2:V32)</f>
        <v>0</v>
      </c>
      <c r="F190" s="7">
        <f t="shared" si="0"/>
        <v>34</v>
      </c>
      <c r="G190" s="14">
        <f t="shared" si="1"/>
        <v>1</v>
      </c>
    </row>
    <row r="191" ht="28.5" spans="1:7">
      <c r="A191" s="7" t="s">
        <v>22</v>
      </c>
      <c r="B191" s="6" t="s">
        <v>189</v>
      </c>
      <c r="C191" s="6" t="s">
        <v>238</v>
      </c>
      <c r="D191" s="6" t="s">
        <v>191</v>
      </c>
      <c r="E191" s="1">
        <f>COUNTBLANK('maestro '!W2:W34)</f>
        <v>0</v>
      </c>
      <c r="F191" s="7">
        <f t="shared" si="0"/>
        <v>34</v>
      </c>
      <c r="G191" s="14">
        <f t="shared" si="1"/>
        <v>1</v>
      </c>
    </row>
    <row r="192" spans="1:7">
      <c r="A192" s="7" t="s">
        <v>23</v>
      </c>
      <c r="B192" s="6" t="s">
        <v>189</v>
      </c>
      <c r="C192" s="6" t="s">
        <v>239</v>
      </c>
      <c r="D192" s="6" t="s">
        <v>193</v>
      </c>
      <c r="E192" s="1">
        <f>COUNTBLANK('maestro '!X2:X35)</f>
        <v>34</v>
      </c>
      <c r="F192" s="7">
        <f t="shared" si="0"/>
        <v>0</v>
      </c>
      <c r="G192" s="15">
        <v>0</v>
      </c>
    </row>
    <row r="193" spans="1:7">
      <c r="A193" s="7" t="s">
        <v>24</v>
      </c>
      <c r="B193" s="6" t="s">
        <v>189</v>
      </c>
      <c r="C193" s="6" t="s">
        <v>240</v>
      </c>
      <c r="D193" s="6" t="s">
        <v>193</v>
      </c>
      <c r="E193" s="1">
        <f>COUNTBLANK('maestro '!Y2:Y35)</f>
        <v>34</v>
      </c>
      <c r="F193" s="7">
        <f t="shared" si="0"/>
        <v>0</v>
      </c>
      <c r="G193" s="15">
        <v>0</v>
      </c>
    </row>
    <row r="194" spans="1:7">
      <c r="A194" s="7" t="s">
        <v>25</v>
      </c>
      <c r="B194" s="6" t="s">
        <v>189</v>
      </c>
      <c r="C194" s="6" t="s">
        <v>241</v>
      </c>
      <c r="D194" s="6" t="s">
        <v>193</v>
      </c>
      <c r="E194" s="1">
        <f>COUNTBLANK('maestro '!Z2:Z35)</f>
        <v>34</v>
      </c>
      <c r="F194" s="7">
        <f t="shared" si="0"/>
        <v>0</v>
      </c>
      <c r="G194" s="15">
        <v>0</v>
      </c>
    </row>
    <row r="195" spans="1:7">
      <c r="A195" s="7" t="s">
        <v>26</v>
      </c>
      <c r="B195" s="6" t="s">
        <v>189</v>
      </c>
      <c r="C195" s="6" t="s">
        <v>242</v>
      </c>
      <c r="D195" s="6" t="s">
        <v>193</v>
      </c>
      <c r="E195" s="1">
        <f>COUNTBLANK('maestro '!AA2:AA35)</f>
        <v>34</v>
      </c>
      <c r="F195" s="7">
        <f t="shared" si="0"/>
        <v>0</v>
      </c>
      <c r="G195" s="15">
        <v>0</v>
      </c>
    </row>
    <row r="196" spans="1:7">
      <c r="A196" s="7" t="s">
        <v>27</v>
      </c>
      <c r="B196" s="6" t="s">
        <v>189</v>
      </c>
      <c r="C196" s="6" t="s">
        <v>243</v>
      </c>
      <c r="D196" s="6" t="s">
        <v>193</v>
      </c>
      <c r="E196" s="1">
        <f>COUNTBLANK('maestro '!AB2:AB35)</f>
        <v>34</v>
      </c>
      <c r="F196" s="7">
        <f t="shared" si="0"/>
        <v>0</v>
      </c>
      <c r="G196" s="15">
        <v>0</v>
      </c>
    </row>
    <row r="197" spans="1:7">
      <c r="A197" s="7" t="s">
        <v>28</v>
      </c>
      <c r="B197" s="6" t="s">
        <v>189</v>
      </c>
      <c r="C197" s="6" t="s">
        <v>244</v>
      </c>
      <c r="D197" s="6" t="s">
        <v>193</v>
      </c>
      <c r="E197" s="1">
        <f>COUNTBLANK('maestro '!AC2:AC35)</f>
        <v>34</v>
      </c>
      <c r="F197" s="7">
        <f t="shared" si="0"/>
        <v>0</v>
      </c>
      <c r="G197" s="15">
        <v>0</v>
      </c>
    </row>
    <row r="198" spans="1:7">
      <c r="A198" s="7" t="s">
        <v>29</v>
      </c>
      <c r="B198" s="6" t="s">
        <v>189</v>
      </c>
      <c r="C198" s="6" t="s">
        <v>245</v>
      </c>
      <c r="D198" s="6" t="s">
        <v>193</v>
      </c>
      <c r="E198" s="1">
        <f>COUNTBLANK('maestro '!AD2:AD35)</f>
        <v>34</v>
      </c>
      <c r="F198" s="7">
        <f t="shared" si="0"/>
        <v>0</v>
      </c>
      <c r="G198" s="15">
        <v>0</v>
      </c>
    </row>
    <row r="199" spans="1:7">
      <c r="A199" s="7" t="s">
        <v>30</v>
      </c>
      <c r="B199" s="6" t="s">
        <v>189</v>
      </c>
      <c r="C199" s="6" t="s">
        <v>246</v>
      </c>
      <c r="D199" s="6" t="s">
        <v>193</v>
      </c>
      <c r="E199" s="1">
        <f>COUNTBLANK('maestro '!AE2:AE35)</f>
        <v>34</v>
      </c>
      <c r="F199" s="7">
        <f t="shared" si="0"/>
        <v>0</v>
      </c>
      <c r="G199" s="15">
        <v>0</v>
      </c>
    </row>
    <row r="200" ht="28.5" spans="1:7">
      <c r="A200" s="7" t="s">
        <v>32</v>
      </c>
      <c r="B200" s="6" t="s">
        <v>189</v>
      </c>
      <c r="C200" s="6" t="s">
        <v>247</v>
      </c>
      <c r="D200" s="6" t="s">
        <v>188</v>
      </c>
      <c r="E200" s="1">
        <f>COUNTBLANK('maestro '!AG2:AG35)</f>
        <v>34</v>
      </c>
      <c r="F200" s="7">
        <f t="shared" si="0"/>
        <v>0</v>
      </c>
      <c r="G200" s="15">
        <v>0</v>
      </c>
    </row>
    <row r="201" ht="28.5" spans="1:7">
      <c r="A201" s="7" t="s">
        <v>33</v>
      </c>
      <c r="B201" s="6" t="s">
        <v>189</v>
      </c>
      <c r="C201" s="6" t="s">
        <v>248</v>
      </c>
      <c r="D201" s="6" t="s">
        <v>188</v>
      </c>
      <c r="E201" s="1">
        <f>COUNTBLANK('maestro '!AH2:AH35)</f>
        <v>34</v>
      </c>
      <c r="F201" s="7">
        <f t="shared" si="0"/>
        <v>0</v>
      </c>
      <c r="G201" s="15">
        <v>0</v>
      </c>
    </row>
    <row r="202" ht="28.5" spans="1:7">
      <c r="A202" s="7" t="s">
        <v>39</v>
      </c>
      <c r="B202" s="6" t="s">
        <v>189</v>
      </c>
      <c r="C202" s="6" t="s">
        <v>249</v>
      </c>
      <c r="D202" s="6" t="s">
        <v>188</v>
      </c>
      <c r="E202" s="1">
        <f>COUNTBLANK('maestro '!AN2:AN35)</f>
        <v>34</v>
      </c>
      <c r="F202" s="7">
        <f t="shared" si="0"/>
        <v>0</v>
      </c>
      <c r="G202" s="15">
        <v>0</v>
      </c>
    </row>
    <row r="203" ht="28.5" spans="1:7">
      <c r="A203" s="7" t="s">
        <v>40</v>
      </c>
      <c r="B203" s="6" t="s">
        <v>189</v>
      </c>
      <c r="C203" s="6" t="s">
        <v>250</v>
      </c>
      <c r="D203" s="6" t="s">
        <v>197</v>
      </c>
      <c r="E203" s="1">
        <f>COUNTBLANK('maestro '!AO2:AO35)</f>
        <v>0</v>
      </c>
      <c r="F203" s="7">
        <f t="shared" si="0"/>
        <v>34</v>
      </c>
      <c r="G203" s="14">
        <f t="shared" si="1"/>
        <v>1</v>
      </c>
    </row>
    <row r="204" ht="28.5" spans="1:7">
      <c r="A204" s="7" t="s">
        <v>40</v>
      </c>
      <c r="B204" s="6" t="s">
        <v>189</v>
      </c>
      <c r="C204" s="6" t="s">
        <v>251</v>
      </c>
      <c r="D204" s="6" t="s">
        <v>197</v>
      </c>
      <c r="E204" s="1">
        <f>COUNTBLANK('maestro '!AP2:AP35)</f>
        <v>0</v>
      </c>
      <c r="F204" s="7">
        <f t="shared" si="0"/>
        <v>34</v>
      </c>
      <c r="G204" s="14">
        <f t="shared" si="1"/>
        <v>1</v>
      </c>
    </row>
    <row r="205" ht="28.5" spans="1:7">
      <c r="A205" s="7" t="s">
        <v>41</v>
      </c>
      <c r="B205" s="6" t="s">
        <v>189</v>
      </c>
      <c r="C205" s="6" t="s">
        <v>252</v>
      </c>
      <c r="D205" s="6" t="s">
        <v>197</v>
      </c>
      <c r="E205" s="1">
        <f>COUNTBLANK('maestro '!AQ2:AQ35)</f>
        <v>0</v>
      </c>
      <c r="F205" s="7">
        <f t="shared" si="0"/>
        <v>34</v>
      </c>
      <c r="G205" s="14">
        <f t="shared" si="1"/>
        <v>1</v>
      </c>
    </row>
    <row r="206" ht="28.5" spans="1:7">
      <c r="A206" s="7" t="s">
        <v>42</v>
      </c>
      <c r="B206" s="6" t="s">
        <v>189</v>
      </c>
      <c r="C206" s="6" t="s">
        <v>253</v>
      </c>
      <c r="D206" s="6" t="s">
        <v>197</v>
      </c>
      <c r="E206" s="1">
        <f>COUNTBLANK('maestro '!AR2:AR35)</f>
        <v>34</v>
      </c>
      <c r="F206" s="7">
        <f t="shared" si="0"/>
        <v>0</v>
      </c>
      <c r="G206" s="15">
        <v>0</v>
      </c>
    </row>
    <row r="207" ht="28.5" spans="1:7">
      <c r="A207" s="7" t="s">
        <v>43</v>
      </c>
      <c r="B207" s="6" t="s">
        <v>189</v>
      </c>
      <c r="C207" s="6" t="s">
        <v>254</v>
      </c>
      <c r="D207" s="6" t="s">
        <v>197</v>
      </c>
      <c r="E207" s="1">
        <f>COUNTBLANK('maestro '!AS2:AS35)</f>
        <v>34</v>
      </c>
      <c r="F207" s="7">
        <f t="shared" si="0"/>
        <v>0</v>
      </c>
      <c r="G207" s="15">
        <v>0</v>
      </c>
    </row>
    <row r="208" ht="28.5" spans="1:7">
      <c r="A208" s="7" t="s">
        <v>70</v>
      </c>
      <c r="B208" s="6" t="s">
        <v>189</v>
      </c>
      <c r="C208" s="6" t="s">
        <v>255</v>
      </c>
      <c r="D208" s="6" t="s">
        <v>197</v>
      </c>
      <c r="E208" s="1">
        <f>COUNTBLANK('maestro '!BT2:BT35)</f>
        <v>0</v>
      </c>
      <c r="F208" s="7">
        <f t="shared" si="0"/>
        <v>34</v>
      </c>
      <c r="G208" s="14">
        <f t="shared" si="1"/>
        <v>1</v>
      </c>
    </row>
    <row r="209" ht="28.5" spans="1:7">
      <c r="A209" s="7" t="s">
        <v>72</v>
      </c>
      <c r="B209" s="6" t="s">
        <v>189</v>
      </c>
      <c r="C209" s="6" t="s">
        <v>256</v>
      </c>
      <c r="D209" s="6" t="s">
        <v>197</v>
      </c>
      <c r="E209" s="1">
        <f>COUNTBLANK('maestro '!BV2:BV35)</f>
        <v>0</v>
      </c>
      <c r="F209" s="7">
        <f t="shared" si="0"/>
        <v>34</v>
      </c>
      <c r="G209" s="14">
        <f t="shared" si="1"/>
        <v>1</v>
      </c>
    </row>
    <row r="210" ht="28.5" spans="1:7">
      <c r="A210" s="7" t="s">
        <v>73</v>
      </c>
      <c r="B210" s="6" t="s">
        <v>189</v>
      </c>
      <c r="C210" s="6" t="s">
        <v>257</v>
      </c>
      <c r="D210" s="6" t="s">
        <v>188</v>
      </c>
      <c r="E210" s="1">
        <f>COUNTBLANK('maestro '!BW2:BW35)</f>
        <v>0</v>
      </c>
      <c r="F210" s="7">
        <f t="shared" si="0"/>
        <v>34</v>
      </c>
      <c r="G210" s="14">
        <f t="shared" si="1"/>
        <v>1</v>
      </c>
    </row>
    <row r="211" ht="15" spans="1:7">
      <c r="A211"/>
      <c r="B211"/>
    </row>
    <row r="212" ht="15" spans="1:7">
      <c r="A212"/>
      <c r="B212"/>
    </row>
    <row r="213" ht="15" spans="1:7">
      <c r="A213"/>
      <c r="B213"/>
    </row>
    <row r="214" ht="15" spans="1:7">
      <c r="A214"/>
      <c r="B214"/>
    </row>
    <row r="215" ht="15" spans="1:7">
      <c r="A215"/>
      <c r="B215"/>
    </row>
    <row r="217" ht="15" spans="1:7">
      <c r="A217" t="s">
        <v>258</v>
      </c>
      <c r="B217"/>
      <c r="C217"/>
      <c r="D217"/>
    </row>
    <row r="218" ht="15" spans="1:7">
      <c r="A218" t="s">
        <v>178</v>
      </c>
      <c r="B218" t="s">
        <v>204</v>
      </c>
      <c r="C218"/>
      <c r="D218"/>
    </row>
    <row r="219" ht="15" spans="1:7">
      <c r="A219" t="s">
        <v>183</v>
      </c>
      <c r="B219" s="16">
        <v>0.333333333333333</v>
      </c>
      <c r="C219"/>
      <c r="D219"/>
    </row>
    <row r="220" ht="15" spans="1:7">
      <c r="A220" t="s">
        <v>180</v>
      </c>
      <c r="B220" s="16">
        <v>0.714285714285714</v>
      </c>
      <c r="C220"/>
      <c r="D220"/>
    </row>
    <row r="221" ht="15" spans="1:7">
      <c r="A221" t="s">
        <v>188</v>
      </c>
      <c r="B221" s="16">
        <v>0.4</v>
      </c>
      <c r="C221"/>
      <c r="D221"/>
    </row>
    <row r="222" ht="15" spans="1:7">
      <c r="A222" t="s">
        <v>191</v>
      </c>
      <c r="B222" s="16">
        <v>1</v>
      </c>
      <c r="C222"/>
      <c r="D222"/>
    </row>
    <row r="223" ht="15" spans="1:7">
      <c r="A223" t="s">
        <v>197</v>
      </c>
      <c r="B223" s="16">
        <v>0.714285714285714</v>
      </c>
      <c r="C223"/>
      <c r="D223"/>
    </row>
    <row r="224" ht="15" spans="1:7">
      <c r="A224" t="s">
        <v>193</v>
      </c>
      <c r="B224" s="16">
        <v>0</v>
      </c>
      <c r="C224"/>
      <c r="D224"/>
    </row>
    <row r="225" ht="15" spans="1:4">
      <c r="A225" t="s">
        <v>204</v>
      </c>
      <c r="B225" s="16">
        <v>0.553191489361702</v>
      </c>
      <c r="C225"/>
      <c r="D225"/>
    </row>
    <row r="226" ht="15" spans="1:4">
      <c r="A226"/>
      <c r="B226"/>
      <c r="C226"/>
    </row>
    <row r="227" ht="15" spans="1:4">
      <c r="A227"/>
      <c r="B227"/>
      <c r="C227"/>
    </row>
    <row r="228" ht="15" spans="1:4">
      <c r="A228"/>
      <c r="B228"/>
      <c r="C228"/>
    </row>
    <row r="229" ht="15" spans="1:4">
      <c r="A229"/>
      <c r="B229"/>
      <c r="C229"/>
    </row>
    <row r="230" ht="15" spans="1:4">
      <c r="A230"/>
      <c r="B230"/>
      <c r="C230"/>
    </row>
    <row r="231" ht="15" spans="1:4">
      <c r="A231"/>
      <c r="B231"/>
      <c r="C231"/>
    </row>
    <row r="232" ht="15" spans="1:4">
      <c r="A232"/>
      <c r="B232"/>
      <c r="C232"/>
    </row>
    <row r="233" ht="15" spans="1:4">
      <c r="A233"/>
      <c r="B233"/>
      <c r="C233"/>
    </row>
    <row r="234" ht="15" spans="1:4">
      <c r="A234"/>
      <c r="B234"/>
      <c r="C234"/>
    </row>
  </sheetData>
  <autoFilter xmlns:etc="http://www.wps.cn/officeDocument/2017/etCustomData" ref="A12:E87" etc:filterBottomFollowUsedRange="0">
    <extLst/>
  </autoFilter>
  <pageMargins left="0.75" right="0.75" top="1" bottom="1" header="0.5" footer="0.5"/>
  <headerFooter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maestro </vt:lpstr>
      <vt:lpstr>Analisis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PAPA</dc:creator>
  <cp:lastModifiedBy>Mario Maciel</cp:lastModifiedBy>
  <dcterms:created xsi:type="dcterms:W3CDTF">2026-06-01T22:48:00Z</dcterms:created>
  <dcterms:modified xsi:type="dcterms:W3CDTF">2026-06-04T21:46:33Z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0394C28E4B5D484196B434D5CA66E639_11</vt:lpwstr>
  </property>
  <property fmtid="{D5CDD505-2E9C-101B-9397-08002B2CF9AE}" pid="3" name="KSOProductBuildVer">
    <vt:lpwstr>3082-12.1.0.26372</vt:lpwstr>
  </property>
  <property fmtid="{D5CDD505-2E9C-101B-9397-08002B2CF9AE}" pid="4" name="CalculationRule">
    <vt:i4>1</vt:i4>
  </property>
</Properties>
</file>